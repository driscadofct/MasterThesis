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37B8E9-CEF2-48C0-8A47-5A79C8756B51}" xr6:coauthVersionLast="47" xr6:coauthVersionMax="47" xr10:uidLastSave="{00000000-0000-0000-0000-000000000000}"/>
  <bookViews>
    <workbookView xWindow="-109" yWindow="-109" windowWidth="34995" windowHeight="19060" activeTab="1" xr2:uid="{05C9E7E0-DD0B-4B62-B58C-CAFAAAD25F7E}"/>
  </bookViews>
  <sheets>
    <sheet name="Sem ajuste calibração" sheetId="1" r:id="rId1"/>
    <sheet name="Ajuste Calibração" sheetId="3" r:id="rId2"/>
    <sheet name="Com ajuste calibraçã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2" i="2"/>
  <c r="C29" i="3"/>
  <c r="D29" i="3"/>
  <c r="G29" i="3" s="1"/>
  <c r="I6" i="3"/>
  <c r="H6" i="3"/>
  <c r="P29" i="3" l="1"/>
  <c r="M6" i="3"/>
  <c r="AA26" i="1" l="1"/>
  <c r="AA27" i="1"/>
  <c r="AA28" i="1"/>
  <c r="AA29" i="1"/>
  <c r="AA30" i="1"/>
  <c r="AA31" i="1"/>
  <c r="AA32" i="1"/>
  <c r="AA33" i="1"/>
  <c r="AA34" i="1"/>
  <c r="AB34" i="1" s="1"/>
  <c r="AA35" i="1"/>
  <c r="AA36" i="1"/>
  <c r="AA37" i="1"/>
  <c r="AA38" i="1"/>
  <c r="AB38" i="1" s="1"/>
  <c r="AA39" i="1"/>
  <c r="AA40" i="1"/>
  <c r="AA41" i="1"/>
  <c r="AB41" i="1" s="1"/>
  <c r="AA42" i="1"/>
  <c r="AA43" i="1"/>
  <c r="AA44" i="1"/>
  <c r="AA45" i="1"/>
  <c r="AA46" i="1"/>
  <c r="AB46" i="1" s="1"/>
  <c r="AA47" i="1"/>
  <c r="AA48" i="1"/>
  <c r="AB48" i="1" s="1"/>
  <c r="AA49" i="1"/>
  <c r="AB49" i="1" s="1"/>
  <c r="AA50" i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A59" i="1"/>
  <c r="AA60" i="1"/>
  <c r="AA61" i="1"/>
  <c r="AA62" i="1"/>
  <c r="AA63" i="1"/>
  <c r="AA64" i="1"/>
  <c r="AA65" i="1"/>
  <c r="AA66" i="1"/>
  <c r="AA67" i="1"/>
  <c r="AB67" i="1" s="1"/>
  <c r="AA68" i="1"/>
  <c r="AB68" i="1" s="1"/>
  <c r="AA69" i="1"/>
  <c r="AB69" i="1" s="1"/>
  <c r="AA70" i="1"/>
  <c r="AB70" i="1" s="1"/>
  <c r="AA71" i="1"/>
  <c r="AA72" i="1"/>
  <c r="AB72" i="1" s="1"/>
  <c r="AA73" i="1"/>
  <c r="AB73" i="1" s="1"/>
  <c r="AA74" i="1"/>
  <c r="AA75" i="1"/>
  <c r="AA76" i="1"/>
  <c r="AA77" i="1"/>
  <c r="AA78" i="1"/>
  <c r="AA79" i="1"/>
  <c r="AB79" i="1" s="1"/>
  <c r="AA80" i="1"/>
  <c r="AA81" i="1"/>
  <c r="AA82" i="1"/>
  <c r="AB82" i="1" s="1"/>
  <c r="AA83" i="1"/>
  <c r="AB83" i="1" s="1"/>
  <c r="AA84" i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A91" i="1"/>
  <c r="AA92" i="1"/>
  <c r="AA93" i="1"/>
  <c r="AA94" i="1"/>
  <c r="AA95" i="1"/>
  <c r="AA96" i="1"/>
  <c r="AA97" i="1"/>
  <c r="AB97" i="1" s="1"/>
  <c r="AA98" i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B118" i="1" s="1"/>
  <c r="AA119" i="1"/>
  <c r="AA120" i="1"/>
  <c r="AA121" i="1"/>
  <c r="AB121" i="1" s="1"/>
  <c r="AA122" i="1"/>
  <c r="AA123" i="1"/>
  <c r="AA124" i="1"/>
  <c r="AA125" i="1"/>
  <c r="AA25" i="1"/>
  <c r="G6" i="1"/>
  <c r="G7" i="1"/>
  <c r="G8" i="1"/>
  <c r="G9" i="1"/>
  <c r="G10" i="1"/>
  <c r="G11" i="1"/>
  <c r="G12" i="1"/>
  <c r="H12" i="1" s="1"/>
  <c r="G13" i="1"/>
  <c r="G14" i="1"/>
  <c r="G15" i="1"/>
  <c r="H15" i="1" s="1"/>
  <c r="G16" i="1"/>
  <c r="H16" i="1" s="1"/>
  <c r="G17" i="1"/>
  <c r="G18" i="1"/>
  <c r="H18" i="1" s="1"/>
  <c r="G19" i="1"/>
  <c r="H19" i="1" s="1"/>
  <c r="G20" i="1"/>
  <c r="H20" i="1" s="1"/>
  <c r="G21" i="1"/>
  <c r="H21" i="1" s="1"/>
  <c r="G22" i="1"/>
  <c r="G23" i="1"/>
  <c r="G24" i="1"/>
  <c r="G25" i="1"/>
  <c r="G26" i="1"/>
  <c r="H26" i="1" s="1"/>
  <c r="G27" i="1"/>
  <c r="G28" i="1"/>
  <c r="G29" i="1"/>
  <c r="H29" i="1" s="1"/>
  <c r="G30" i="1"/>
  <c r="H30" i="1" s="1"/>
  <c r="G31" i="1"/>
  <c r="G32" i="1"/>
  <c r="H32" i="1" s="1"/>
  <c r="G33" i="1"/>
  <c r="H33" i="1" s="1"/>
  <c r="G34" i="1"/>
  <c r="G35" i="1"/>
  <c r="H35" i="1" s="1"/>
  <c r="G36" i="1"/>
  <c r="H36" i="1" s="1"/>
  <c r="G37" i="1"/>
  <c r="H37" i="1" s="1"/>
  <c r="G38" i="1"/>
  <c r="G39" i="1"/>
  <c r="G40" i="1"/>
  <c r="G41" i="1"/>
  <c r="G42" i="1"/>
  <c r="H42" i="1" s="1"/>
  <c r="G43" i="1"/>
  <c r="G44" i="1"/>
  <c r="G45" i="1"/>
  <c r="H45" i="1" s="1"/>
  <c r="G46" i="1"/>
  <c r="H46" i="1" s="1"/>
  <c r="G47" i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G56" i="1"/>
  <c r="G57" i="1"/>
  <c r="G58" i="1"/>
  <c r="G59" i="1"/>
  <c r="H59" i="1" s="1"/>
  <c r="G60" i="1"/>
  <c r="H60" i="1" s="1"/>
  <c r="G61" i="1"/>
  <c r="G62" i="1"/>
  <c r="H62" i="1" s="1"/>
  <c r="G63" i="1"/>
  <c r="H63" i="1" s="1"/>
  <c r="G64" i="1"/>
  <c r="G65" i="1"/>
  <c r="G66" i="1"/>
  <c r="H66" i="1" s="1"/>
  <c r="G67" i="1"/>
  <c r="H67" i="1" s="1"/>
  <c r="G68" i="1"/>
  <c r="H68" i="1" s="1"/>
  <c r="G69" i="1"/>
  <c r="H69" i="1" s="1"/>
  <c r="G70" i="1"/>
  <c r="G71" i="1"/>
  <c r="G72" i="1"/>
  <c r="G73" i="1"/>
  <c r="G74" i="1"/>
  <c r="G75" i="1"/>
  <c r="G76" i="1"/>
  <c r="H76" i="1" s="1"/>
  <c r="G77" i="1"/>
  <c r="G78" i="1"/>
  <c r="G79" i="1"/>
  <c r="H79" i="1" s="1"/>
  <c r="G80" i="1"/>
  <c r="H80" i="1" s="1"/>
  <c r="G81" i="1"/>
  <c r="G82" i="1"/>
  <c r="H82" i="1" s="1"/>
  <c r="G83" i="1"/>
  <c r="H83" i="1" s="1"/>
  <c r="G84" i="1"/>
  <c r="G85" i="1"/>
  <c r="H85" i="1" s="1"/>
  <c r="G86" i="1"/>
  <c r="G87" i="1"/>
  <c r="G88" i="1"/>
  <c r="G89" i="1"/>
  <c r="G90" i="1"/>
  <c r="G91" i="1"/>
  <c r="G92" i="1"/>
  <c r="H92" i="1" s="1"/>
  <c r="G93" i="1"/>
  <c r="G94" i="1"/>
  <c r="G95" i="1"/>
  <c r="H95" i="1" s="1"/>
  <c r="G96" i="1"/>
  <c r="H96" i="1" s="1"/>
  <c r="G97" i="1"/>
  <c r="G98" i="1"/>
  <c r="H98" i="1" s="1"/>
  <c r="G99" i="1"/>
  <c r="H99" i="1" s="1"/>
  <c r="G100" i="1"/>
  <c r="H100" i="1" s="1"/>
  <c r="G101" i="1"/>
  <c r="H101" i="1" s="1"/>
  <c r="G102" i="1"/>
  <c r="G103" i="1"/>
  <c r="G104" i="1"/>
  <c r="G105" i="1"/>
  <c r="G106" i="1"/>
  <c r="G107" i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G119" i="1"/>
  <c r="G120" i="1"/>
  <c r="G121" i="1"/>
  <c r="G122" i="1"/>
  <c r="G123" i="1"/>
  <c r="G124" i="1"/>
  <c r="H124" i="1" s="1"/>
  <c r="G125" i="1"/>
  <c r="H125" i="1" s="1"/>
  <c r="K8" i="1"/>
  <c r="L8" i="1" s="1"/>
  <c r="K9" i="1"/>
  <c r="L9" i="1" s="1"/>
  <c r="K10" i="1"/>
  <c r="K11" i="1"/>
  <c r="L11" i="1" s="1"/>
  <c r="K12" i="1"/>
  <c r="L12" i="1" s="1"/>
  <c r="K13" i="1"/>
  <c r="L13" i="1" s="1"/>
  <c r="K14" i="1"/>
  <c r="K15" i="1"/>
  <c r="K16" i="1"/>
  <c r="K17" i="1"/>
  <c r="L17" i="1" s="1"/>
  <c r="K18" i="1"/>
  <c r="K19" i="1"/>
  <c r="K20" i="1"/>
  <c r="L20" i="1" s="1"/>
  <c r="K21" i="1"/>
  <c r="L21" i="1" s="1"/>
  <c r="K22" i="1"/>
  <c r="K23" i="1"/>
  <c r="L23" i="1" s="1"/>
  <c r="K24" i="1"/>
  <c r="K25" i="1"/>
  <c r="L25" i="1" s="1"/>
  <c r="K26" i="1"/>
  <c r="L26" i="1" s="1"/>
  <c r="K27" i="1"/>
  <c r="L27" i="1" s="1"/>
  <c r="K28" i="1"/>
  <c r="L28" i="1" s="1"/>
  <c r="K29" i="1"/>
  <c r="L29" i="1" s="1"/>
  <c r="K30" i="1"/>
  <c r="K31" i="1"/>
  <c r="K32" i="1"/>
  <c r="K33" i="1"/>
  <c r="K34" i="1"/>
  <c r="K35" i="1"/>
  <c r="L35" i="1" s="1"/>
  <c r="K36" i="1"/>
  <c r="K37" i="1"/>
  <c r="L37" i="1" s="1"/>
  <c r="K38" i="1"/>
  <c r="L38" i="1" s="1"/>
  <c r="K39" i="1"/>
  <c r="L39" i="1" s="1"/>
  <c r="K40" i="1"/>
  <c r="K41" i="1"/>
  <c r="K42" i="1"/>
  <c r="K43" i="1"/>
  <c r="L43" i="1" s="1"/>
  <c r="K44" i="1"/>
  <c r="L44" i="1" s="1"/>
  <c r="K45" i="1"/>
  <c r="L45" i="1" s="1"/>
  <c r="K46" i="1"/>
  <c r="L46" i="1" s="1"/>
  <c r="K47" i="1"/>
  <c r="K48" i="1"/>
  <c r="K49" i="1"/>
  <c r="K50" i="1"/>
  <c r="K51" i="1"/>
  <c r="K52" i="1"/>
  <c r="L52" i="1" s="1"/>
  <c r="K53" i="1"/>
  <c r="L53" i="1" s="1"/>
  <c r="K54" i="1"/>
  <c r="L54" i="1" s="1"/>
  <c r="K55" i="1"/>
  <c r="K56" i="1"/>
  <c r="K57" i="1"/>
  <c r="K58" i="1"/>
  <c r="L58" i="1" s="1"/>
  <c r="K59" i="1"/>
  <c r="L59" i="1" s="1"/>
  <c r="K60" i="1"/>
  <c r="K61" i="1"/>
  <c r="L61" i="1" s="1"/>
  <c r="K62" i="1"/>
  <c r="L62" i="1" s="1"/>
  <c r="K63" i="1"/>
  <c r="K64" i="1"/>
  <c r="K65" i="1"/>
  <c r="K66" i="1"/>
  <c r="K67" i="1"/>
  <c r="K68" i="1"/>
  <c r="K69" i="1"/>
  <c r="L69" i="1" s="1"/>
  <c r="K70" i="1"/>
  <c r="K71" i="1"/>
  <c r="L71" i="1" s="1"/>
  <c r="K72" i="1"/>
  <c r="K73" i="1"/>
  <c r="K74" i="1"/>
  <c r="L74" i="1" s="1"/>
  <c r="K75" i="1"/>
  <c r="K76" i="1"/>
  <c r="L76" i="1" s="1"/>
  <c r="K77" i="1"/>
  <c r="L77" i="1" s="1"/>
  <c r="K78" i="1"/>
  <c r="L78" i="1" s="1"/>
  <c r="K79" i="1"/>
  <c r="K80" i="1"/>
  <c r="K81" i="1"/>
  <c r="L81" i="1" s="1"/>
  <c r="K82" i="1"/>
  <c r="K83" i="1"/>
  <c r="K84" i="1"/>
  <c r="L84" i="1" s="1"/>
  <c r="K85" i="1"/>
  <c r="K86" i="1"/>
  <c r="K87" i="1"/>
  <c r="L87" i="1" s="1"/>
  <c r="K88" i="1"/>
  <c r="L88" i="1" s="1"/>
  <c r="K89" i="1"/>
  <c r="K90" i="1"/>
  <c r="L90" i="1" s="1"/>
  <c r="K91" i="1"/>
  <c r="L91" i="1" s="1"/>
  <c r="K92" i="1"/>
  <c r="L92" i="1" s="1"/>
  <c r="K93" i="1"/>
  <c r="L93" i="1" s="1"/>
  <c r="K94" i="1"/>
  <c r="L94" i="1" s="1"/>
  <c r="K95" i="1"/>
  <c r="K96" i="1"/>
  <c r="K97" i="1"/>
  <c r="K98" i="1"/>
  <c r="K99" i="1"/>
  <c r="L99" i="1" s="1"/>
  <c r="K100" i="1"/>
  <c r="K101" i="1"/>
  <c r="K102" i="1"/>
  <c r="L102" i="1" s="1"/>
  <c r="K103" i="1"/>
  <c r="L103" i="1" s="1"/>
  <c r="K104" i="1"/>
  <c r="K105" i="1"/>
  <c r="K106" i="1"/>
  <c r="K107" i="1"/>
  <c r="L107" i="1" s="1"/>
  <c r="K108" i="1"/>
  <c r="K109" i="1"/>
  <c r="L109" i="1" s="1"/>
  <c r="K110" i="1"/>
  <c r="L110" i="1" s="1"/>
  <c r="K111" i="1"/>
  <c r="K112" i="1"/>
  <c r="K113" i="1"/>
  <c r="K114" i="1"/>
  <c r="K115" i="1"/>
  <c r="K116" i="1"/>
  <c r="K117" i="1"/>
  <c r="K118" i="1"/>
  <c r="L118" i="1" s="1"/>
  <c r="K119" i="1"/>
  <c r="L119" i="1" s="1"/>
  <c r="K120" i="1"/>
  <c r="K121" i="1"/>
  <c r="K122" i="1"/>
  <c r="K123" i="1"/>
  <c r="K124" i="1"/>
  <c r="L124" i="1" s="1"/>
  <c r="K125" i="1"/>
  <c r="L125" i="1" s="1"/>
  <c r="O10" i="1"/>
  <c r="O11" i="1"/>
  <c r="O12" i="1"/>
  <c r="O13" i="1"/>
  <c r="O14" i="1"/>
  <c r="P14" i="1" s="1"/>
  <c r="O15" i="1"/>
  <c r="O16" i="1"/>
  <c r="O17" i="1"/>
  <c r="O18" i="1"/>
  <c r="O19" i="1"/>
  <c r="O20" i="1"/>
  <c r="P20" i="1" s="1"/>
  <c r="O21" i="1"/>
  <c r="P21" i="1" s="1"/>
  <c r="O22" i="1"/>
  <c r="O23" i="1"/>
  <c r="P23" i="1" s="1"/>
  <c r="O24" i="1"/>
  <c r="P24" i="1" s="1"/>
  <c r="O25" i="1"/>
  <c r="P25" i="1" s="1"/>
  <c r="O26" i="1"/>
  <c r="O27" i="1"/>
  <c r="O28" i="1"/>
  <c r="O29" i="1"/>
  <c r="O30" i="1"/>
  <c r="O31" i="1"/>
  <c r="P31" i="1" s="1"/>
  <c r="O32" i="1"/>
  <c r="O33" i="1"/>
  <c r="O34" i="1"/>
  <c r="O35" i="1"/>
  <c r="O36" i="1"/>
  <c r="P36" i="1" s="1"/>
  <c r="O37" i="1"/>
  <c r="P37" i="1" s="1"/>
  <c r="O38" i="1"/>
  <c r="O39" i="1"/>
  <c r="P39" i="1" s="1"/>
  <c r="O40" i="1"/>
  <c r="P40" i="1" s="1"/>
  <c r="O41" i="1"/>
  <c r="P41" i="1" s="1"/>
  <c r="O42" i="1"/>
  <c r="O43" i="1"/>
  <c r="O44" i="1"/>
  <c r="O45" i="1"/>
  <c r="O46" i="1"/>
  <c r="O47" i="1"/>
  <c r="O48" i="1"/>
  <c r="P48" i="1" s="1"/>
  <c r="O49" i="1"/>
  <c r="O50" i="1"/>
  <c r="O51" i="1"/>
  <c r="P51" i="1" s="1"/>
  <c r="O52" i="1"/>
  <c r="O53" i="1"/>
  <c r="P53" i="1" s="1"/>
  <c r="O54" i="1"/>
  <c r="P54" i="1" s="1"/>
  <c r="O55" i="1"/>
  <c r="P55" i="1" s="1"/>
  <c r="O56" i="1"/>
  <c r="P56" i="1" s="1"/>
  <c r="O57" i="1"/>
  <c r="P57" i="1" s="1"/>
  <c r="O58" i="1"/>
  <c r="O59" i="1"/>
  <c r="O60" i="1"/>
  <c r="O61" i="1"/>
  <c r="O62" i="1"/>
  <c r="O63" i="1"/>
  <c r="O64" i="1"/>
  <c r="P64" i="1" s="1"/>
  <c r="O65" i="1"/>
  <c r="O66" i="1"/>
  <c r="O67" i="1"/>
  <c r="O68" i="1"/>
  <c r="P68" i="1" s="1"/>
  <c r="O69" i="1"/>
  <c r="P69" i="1" s="1"/>
  <c r="O70" i="1"/>
  <c r="O71" i="1"/>
  <c r="P71" i="1" s="1"/>
  <c r="O72" i="1"/>
  <c r="P72" i="1" s="1"/>
  <c r="O73" i="1"/>
  <c r="P73" i="1" s="1"/>
  <c r="O74" i="1"/>
  <c r="O75" i="1"/>
  <c r="P75" i="1" s="1"/>
  <c r="O76" i="1"/>
  <c r="O77" i="1"/>
  <c r="O78" i="1"/>
  <c r="O79" i="1"/>
  <c r="P79" i="1" s="1"/>
  <c r="O80" i="1"/>
  <c r="O81" i="1"/>
  <c r="O82" i="1"/>
  <c r="O83" i="1"/>
  <c r="O84" i="1"/>
  <c r="O85" i="1"/>
  <c r="P85" i="1" s="1"/>
  <c r="O86" i="1"/>
  <c r="O87" i="1"/>
  <c r="P87" i="1" s="1"/>
  <c r="O88" i="1"/>
  <c r="P88" i="1" s="1"/>
  <c r="O89" i="1"/>
  <c r="P89" i="1" s="1"/>
  <c r="O90" i="1"/>
  <c r="O91" i="1"/>
  <c r="O92" i="1"/>
  <c r="O93" i="1"/>
  <c r="O94" i="1"/>
  <c r="O95" i="1"/>
  <c r="O96" i="1"/>
  <c r="P96" i="1" s="1"/>
  <c r="O97" i="1"/>
  <c r="O98" i="1"/>
  <c r="O99" i="1"/>
  <c r="P99" i="1" s="1"/>
  <c r="O100" i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O107" i="1"/>
  <c r="P107" i="1" s="1"/>
  <c r="O108" i="1"/>
  <c r="O109" i="1"/>
  <c r="O110" i="1"/>
  <c r="P110" i="1" s="1"/>
  <c r="O111" i="1"/>
  <c r="P111" i="1" s="1"/>
  <c r="O112" i="1"/>
  <c r="P112" i="1" s="1"/>
  <c r="O113" i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O123" i="1"/>
  <c r="O124" i="1"/>
  <c r="P124" i="1" s="1"/>
  <c r="O125" i="1"/>
  <c r="S12" i="1"/>
  <c r="S13" i="1"/>
  <c r="S14" i="1"/>
  <c r="S15" i="1"/>
  <c r="S16" i="1"/>
  <c r="T16" i="1" s="1"/>
  <c r="S17" i="1"/>
  <c r="S18" i="1"/>
  <c r="S19" i="1"/>
  <c r="S20" i="1"/>
  <c r="T20" i="1" s="1"/>
  <c r="S21" i="1"/>
  <c r="S22" i="1"/>
  <c r="T22" i="1" s="1"/>
  <c r="S23" i="1"/>
  <c r="T23" i="1" s="1"/>
  <c r="S24" i="1"/>
  <c r="S25" i="1"/>
  <c r="T25" i="1" s="1"/>
  <c r="S26" i="1"/>
  <c r="T26" i="1" s="1"/>
  <c r="S27" i="1"/>
  <c r="S28" i="1"/>
  <c r="S29" i="1"/>
  <c r="S30" i="1"/>
  <c r="S31" i="1"/>
  <c r="S32" i="1"/>
  <c r="S33" i="1"/>
  <c r="T33" i="1" s="1"/>
  <c r="S34" i="1"/>
  <c r="S35" i="1"/>
  <c r="S36" i="1"/>
  <c r="S37" i="1"/>
  <c r="S38" i="1"/>
  <c r="S39" i="1"/>
  <c r="T39" i="1" s="1"/>
  <c r="S40" i="1"/>
  <c r="T40" i="1" s="1"/>
  <c r="S41" i="1"/>
  <c r="T41" i="1" s="1"/>
  <c r="S42" i="1"/>
  <c r="T42" i="1" s="1"/>
  <c r="S43" i="1"/>
  <c r="T43" i="1" s="1"/>
  <c r="S44" i="1"/>
  <c r="S45" i="1"/>
  <c r="S46" i="1"/>
  <c r="S47" i="1"/>
  <c r="T47" i="1" s="1"/>
  <c r="S48" i="1"/>
  <c r="T48" i="1" s="1"/>
  <c r="S49" i="1"/>
  <c r="S50" i="1"/>
  <c r="S51" i="1"/>
  <c r="S52" i="1"/>
  <c r="S53" i="1"/>
  <c r="T53" i="1" s="1"/>
  <c r="S54" i="1"/>
  <c r="T54" i="1" s="1"/>
  <c r="S55" i="1"/>
  <c r="S56" i="1"/>
  <c r="T56" i="1" s="1"/>
  <c r="S57" i="1"/>
  <c r="T57" i="1" s="1"/>
  <c r="S58" i="1"/>
  <c r="T58" i="1" s="1"/>
  <c r="S59" i="1"/>
  <c r="T59" i="1" s="1"/>
  <c r="S60" i="1"/>
  <c r="S61" i="1"/>
  <c r="S62" i="1"/>
  <c r="S63" i="1"/>
  <c r="T63" i="1" s="1"/>
  <c r="S64" i="1"/>
  <c r="T64" i="1" s="1"/>
  <c r="S65" i="1"/>
  <c r="S66" i="1"/>
  <c r="S67" i="1"/>
  <c r="T67" i="1" s="1"/>
  <c r="S68" i="1"/>
  <c r="S69" i="1"/>
  <c r="T69" i="1" s="1"/>
  <c r="S70" i="1"/>
  <c r="T70" i="1" s="1"/>
  <c r="S71" i="1"/>
  <c r="S72" i="1"/>
  <c r="T72" i="1" s="1"/>
  <c r="S73" i="1"/>
  <c r="T73" i="1" s="1"/>
  <c r="S74" i="1"/>
  <c r="S75" i="1"/>
  <c r="T75" i="1" s="1"/>
  <c r="S76" i="1"/>
  <c r="S77" i="1"/>
  <c r="S78" i="1"/>
  <c r="S79" i="1"/>
  <c r="S80" i="1"/>
  <c r="S81" i="1"/>
  <c r="S82" i="1"/>
  <c r="S83" i="1"/>
  <c r="S84" i="1"/>
  <c r="S85" i="1"/>
  <c r="S86" i="1"/>
  <c r="T86" i="1" s="1"/>
  <c r="S87" i="1"/>
  <c r="S88" i="1"/>
  <c r="T88" i="1" s="1"/>
  <c r="S89" i="1"/>
  <c r="T89" i="1" s="1"/>
  <c r="S90" i="1"/>
  <c r="T90" i="1" s="1"/>
  <c r="S91" i="1"/>
  <c r="T91" i="1" s="1"/>
  <c r="S92" i="1"/>
  <c r="S93" i="1"/>
  <c r="S94" i="1"/>
  <c r="T94" i="1" s="1"/>
  <c r="S95" i="1"/>
  <c r="T95" i="1" s="1"/>
  <c r="S96" i="1"/>
  <c r="S97" i="1"/>
  <c r="T97" i="1" s="1"/>
  <c r="S98" i="1"/>
  <c r="S99" i="1"/>
  <c r="S100" i="1"/>
  <c r="S101" i="1"/>
  <c r="T101" i="1" s="1"/>
  <c r="S102" i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S109" i="1"/>
  <c r="S110" i="1"/>
  <c r="S111" i="1"/>
  <c r="S112" i="1"/>
  <c r="T112" i="1" s="1"/>
  <c r="S113" i="1"/>
  <c r="T113" i="1" s="1"/>
  <c r="S114" i="1"/>
  <c r="S115" i="1"/>
  <c r="S116" i="1"/>
  <c r="S117" i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S125" i="1"/>
  <c r="W14" i="1"/>
  <c r="W15" i="1"/>
  <c r="W16" i="1"/>
  <c r="W17" i="1"/>
  <c r="X17" i="1" s="1"/>
  <c r="W18" i="1"/>
  <c r="W19" i="1"/>
  <c r="X19" i="1" s="1"/>
  <c r="W20" i="1"/>
  <c r="X20" i="1" s="1"/>
  <c r="W21" i="1"/>
  <c r="W22" i="1"/>
  <c r="W23" i="1"/>
  <c r="W24" i="1"/>
  <c r="W25" i="1"/>
  <c r="X25" i="1" s="1"/>
  <c r="W26" i="1"/>
  <c r="X26" i="1" s="1"/>
  <c r="W27" i="1"/>
  <c r="W28" i="1"/>
  <c r="X28" i="1" s="1"/>
  <c r="W29" i="1"/>
  <c r="X29" i="1" s="1"/>
  <c r="W30" i="1"/>
  <c r="W31" i="1"/>
  <c r="W32" i="1"/>
  <c r="X32" i="1" s="1"/>
  <c r="W33" i="1"/>
  <c r="W34" i="1"/>
  <c r="W35" i="1"/>
  <c r="W36" i="1"/>
  <c r="X36" i="1" s="1"/>
  <c r="W37" i="1"/>
  <c r="W38" i="1"/>
  <c r="W39" i="1"/>
  <c r="W40" i="1"/>
  <c r="W41" i="1"/>
  <c r="X41" i="1" s="1"/>
  <c r="W42" i="1"/>
  <c r="X42" i="1" s="1"/>
  <c r="W43" i="1"/>
  <c r="X43" i="1" s="1"/>
  <c r="W44" i="1"/>
  <c r="W45" i="1"/>
  <c r="X45" i="1" s="1"/>
  <c r="W46" i="1"/>
  <c r="W47" i="1"/>
  <c r="W48" i="1"/>
  <c r="X48" i="1" s="1"/>
  <c r="W49" i="1"/>
  <c r="X49" i="1" s="1"/>
  <c r="W50" i="1"/>
  <c r="W51" i="1"/>
  <c r="W52" i="1"/>
  <c r="X52" i="1" s="1"/>
  <c r="W53" i="1"/>
  <c r="W54" i="1"/>
  <c r="W55" i="1"/>
  <c r="X55" i="1" s="1"/>
  <c r="W56" i="1"/>
  <c r="W57" i="1"/>
  <c r="X57" i="1" s="1"/>
  <c r="W58" i="1"/>
  <c r="X58" i="1" s="1"/>
  <c r="W59" i="1"/>
  <c r="X59" i="1" s="1"/>
  <c r="W60" i="1"/>
  <c r="X60" i="1" s="1"/>
  <c r="W61" i="1"/>
  <c r="W62" i="1"/>
  <c r="W63" i="1"/>
  <c r="W64" i="1"/>
  <c r="W65" i="1"/>
  <c r="W66" i="1"/>
  <c r="X66" i="1" s="1"/>
  <c r="W67" i="1"/>
  <c r="W68" i="1"/>
  <c r="X68" i="1" s="1"/>
  <c r="W69" i="1"/>
  <c r="W70" i="1"/>
  <c r="W71" i="1"/>
  <c r="X71" i="1" s="1"/>
  <c r="W72" i="1"/>
  <c r="X72" i="1" s="1"/>
  <c r="W73" i="1"/>
  <c r="W74" i="1"/>
  <c r="X74" i="1" s="1"/>
  <c r="W75" i="1"/>
  <c r="X75" i="1" s="1"/>
  <c r="W76" i="1"/>
  <c r="X76" i="1" s="1"/>
  <c r="W77" i="1"/>
  <c r="X77" i="1" s="1"/>
  <c r="W78" i="1"/>
  <c r="W79" i="1"/>
  <c r="W80" i="1"/>
  <c r="W81" i="1"/>
  <c r="X81" i="1" s="1"/>
  <c r="W82" i="1"/>
  <c r="W83" i="1"/>
  <c r="X83" i="1" s="1"/>
  <c r="W84" i="1"/>
  <c r="W85" i="1"/>
  <c r="W86" i="1"/>
  <c r="W87" i="1"/>
  <c r="W88" i="1"/>
  <c r="W89" i="1"/>
  <c r="W90" i="1"/>
  <c r="W91" i="1"/>
  <c r="X91" i="1" s="1"/>
  <c r="W92" i="1"/>
  <c r="X92" i="1" s="1"/>
  <c r="W93" i="1"/>
  <c r="X93" i="1" s="1"/>
  <c r="W94" i="1"/>
  <c r="W95" i="1"/>
  <c r="W96" i="1"/>
  <c r="W97" i="1"/>
  <c r="X97" i="1" s="1"/>
  <c r="W98" i="1"/>
  <c r="X98" i="1" s="1"/>
  <c r="W99" i="1"/>
  <c r="X99" i="1" s="1"/>
  <c r="W100" i="1"/>
  <c r="W101" i="1"/>
  <c r="X101" i="1" s="1"/>
  <c r="W102" i="1"/>
  <c r="W103" i="1"/>
  <c r="W104" i="1"/>
  <c r="X104" i="1" s="1"/>
  <c r="W105" i="1"/>
  <c r="W106" i="1"/>
  <c r="W107" i="1"/>
  <c r="X107" i="1" s="1"/>
  <c r="W108" i="1"/>
  <c r="X108" i="1" s="1"/>
  <c r="W109" i="1"/>
  <c r="X109" i="1" s="1"/>
  <c r="W110" i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W118" i="1"/>
  <c r="W119" i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AB30" i="1"/>
  <c r="AB32" i="1"/>
  <c r="AB35" i="1"/>
  <c r="AB37" i="1"/>
  <c r="AB39" i="1"/>
  <c r="AB40" i="1"/>
  <c r="AB62" i="1"/>
  <c r="AB64" i="1"/>
  <c r="AB71" i="1"/>
  <c r="AB78" i="1"/>
  <c r="AB80" i="1"/>
  <c r="AB94" i="1"/>
  <c r="AB96" i="1"/>
  <c r="AB117" i="1"/>
  <c r="AB119" i="1"/>
  <c r="AB120" i="1"/>
  <c r="W13" i="1"/>
  <c r="D2" i="1"/>
  <c r="D3" i="1"/>
  <c r="D4" i="1"/>
  <c r="D5" i="1"/>
  <c r="G5" i="1"/>
  <c r="H5" i="1"/>
  <c r="D6" i="1"/>
  <c r="H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AB122" i="1"/>
  <c r="AB123" i="1"/>
  <c r="AB124" i="1"/>
  <c r="AB125" i="1"/>
  <c r="X118" i="1"/>
  <c r="X119" i="1"/>
  <c r="T124" i="1"/>
  <c r="T125" i="1"/>
  <c r="P122" i="1"/>
  <c r="P123" i="1"/>
  <c r="P125" i="1"/>
  <c r="L120" i="1"/>
  <c r="L121" i="1"/>
  <c r="L122" i="1"/>
  <c r="L123" i="1"/>
  <c r="H118" i="1"/>
  <c r="H119" i="1"/>
  <c r="H120" i="1"/>
  <c r="H121" i="1"/>
  <c r="H122" i="1"/>
  <c r="H123" i="1"/>
  <c r="AB108" i="1"/>
  <c r="AB109" i="1"/>
  <c r="AB110" i="1"/>
  <c r="AB111" i="1"/>
  <c r="AB112" i="1"/>
  <c r="AB113" i="1"/>
  <c r="AB114" i="1"/>
  <c r="AB115" i="1"/>
  <c r="AB116" i="1"/>
  <c r="X110" i="1"/>
  <c r="X117" i="1"/>
  <c r="T117" i="1"/>
  <c r="T108" i="1"/>
  <c r="T109" i="1"/>
  <c r="T110" i="1"/>
  <c r="T111" i="1"/>
  <c r="T114" i="1"/>
  <c r="T115" i="1"/>
  <c r="T116" i="1"/>
  <c r="P108" i="1"/>
  <c r="P109" i="1"/>
  <c r="P113" i="1"/>
  <c r="L108" i="1"/>
  <c r="L111" i="1"/>
  <c r="L112" i="1"/>
  <c r="L113" i="1"/>
  <c r="L114" i="1"/>
  <c r="L115" i="1"/>
  <c r="L116" i="1"/>
  <c r="L117" i="1"/>
  <c r="AB107" i="1"/>
  <c r="H107" i="1"/>
  <c r="AB106" i="1"/>
  <c r="X106" i="1"/>
  <c r="P106" i="1"/>
  <c r="L106" i="1"/>
  <c r="H106" i="1"/>
  <c r="X105" i="1"/>
  <c r="L105" i="1"/>
  <c r="H105" i="1"/>
  <c r="L104" i="1"/>
  <c r="H104" i="1"/>
  <c r="X103" i="1"/>
  <c r="H103" i="1"/>
  <c r="X102" i="1"/>
  <c r="T102" i="1"/>
  <c r="H102" i="1"/>
  <c r="L101" i="1"/>
  <c r="X100" i="1"/>
  <c r="T100" i="1"/>
  <c r="P100" i="1"/>
  <c r="L100" i="1"/>
  <c r="T99" i="1"/>
  <c r="AB98" i="1"/>
  <c r="T98" i="1"/>
  <c r="P98" i="1"/>
  <c r="L98" i="1"/>
  <c r="P97" i="1"/>
  <c r="L97" i="1"/>
  <c r="H97" i="1"/>
  <c r="X96" i="1"/>
  <c r="T96" i="1"/>
  <c r="L96" i="1"/>
  <c r="AB95" i="1"/>
  <c r="X95" i="1"/>
  <c r="P95" i="1"/>
  <c r="L95" i="1"/>
  <c r="X94" i="1"/>
  <c r="P94" i="1"/>
  <c r="H94" i="1"/>
  <c r="AB93" i="1"/>
  <c r="T93" i="1"/>
  <c r="P93" i="1"/>
  <c r="H93" i="1"/>
  <c r="AB92" i="1"/>
  <c r="T92" i="1"/>
  <c r="P92" i="1"/>
  <c r="AB91" i="1"/>
  <c r="P91" i="1"/>
  <c r="H91" i="1"/>
  <c r="AB90" i="1"/>
  <c r="X90" i="1"/>
  <c r="P90" i="1"/>
  <c r="H90" i="1"/>
  <c r="X89" i="1"/>
  <c r="L89" i="1"/>
  <c r="H89" i="1"/>
  <c r="X88" i="1"/>
  <c r="H88" i="1"/>
  <c r="X87" i="1"/>
  <c r="T87" i="1"/>
  <c r="H87" i="1"/>
  <c r="X86" i="1"/>
  <c r="P86" i="1"/>
  <c r="L86" i="1"/>
  <c r="H86" i="1"/>
  <c r="X85" i="1"/>
  <c r="T85" i="1"/>
  <c r="L85" i="1"/>
  <c r="AB84" i="1"/>
  <c r="X84" i="1"/>
  <c r="T84" i="1"/>
  <c r="P84" i="1"/>
  <c r="H84" i="1"/>
  <c r="T83" i="1"/>
  <c r="P83" i="1"/>
  <c r="L83" i="1"/>
  <c r="X82" i="1"/>
  <c r="T82" i="1"/>
  <c r="P82" i="1"/>
  <c r="L82" i="1"/>
  <c r="AB81" i="1"/>
  <c r="T81" i="1"/>
  <c r="P81" i="1"/>
  <c r="H81" i="1"/>
  <c r="X80" i="1"/>
  <c r="T80" i="1"/>
  <c r="P80" i="1"/>
  <c r="L80" i="1"/>
  <c r="X79" i="1"/>
  <c r="T79" i="1"/>
  <c r="L79" i="1"/>
  <c r="X78" i="1"/>
  <c r="T78" i="1"/>
  <c r="P78" i="1"/>
  <c r="H78" i="1"/>
  <c r="AB77" i="1"/>
  <c r="T77" i="1"/>
  <c r="P77" i="1"/>
  <c r="H77" i="1"/>
  <c r="AB76" i="1"/>
  <c r="T76" i="1"/>
  <c r="P76" i="1"/>
  <c r="AB75" i="1"/>
  <c r="L75" i="1"/>
  <c r="H75" i="1"/>
  <c r="AB74" i="1"/>
  <c r="T74" i="1"/>
  <c r="P74" i="1"/>
  <c r="H74" i="1"/>
  <c r="X73" i="1"/>
  <c r="L73" i="1"/>
  <c r="H73" i="1"/>
  <c r="L72" i="1"/>
  <c r="H72" i="1"/>
  <c r="T71" i="1"/>
  <c r="H71" i="1"/>
  <c r="X70" i="1"/>
  <c r="P70" i="1"/>
  <c r="L70" i="1"/>
  <c r="H70" i="1"/>
  <c r="X69" i="1"/>
  <c r="T68" i="1"/>
  <c r="L68" i="1"/>
  <c r="X67" i="1"/>
  <c r="P67" i="1"/>
  <c r="L67" i="1"/>
  <c r="AB66" i="1"/>
  <c r="T66" i="1"/>
  <c r="P66" i="1"/>
  <c r="L66" i="1"/>
  <c r="AB65" i="1"/>
  <c r="X65" i="1"/>
  <c r="T65" i="1"/>
  <c r="P65" i="1"/>
  <c r="L65" i="1"/>
  <c r="H65" i="1"/>
  <c r="X64" i="1"/>
  <c r="L64" i="1"/>
  <c r="H64" i="1"/>
  <c r="AB63" i="1"/>
  <c r="X63" i="1"/>
  <c r="P63" i="1"/>
  <c r="L63" i="1"/>
  <c r="X62" i="1"/>
  <c r="T62" i="1"/>
  <c r="P62" i="1"/>
  <c r="AB61" i="1"/>
  <c r="X61" i="1"/>
  <c r="T61" i="1"/>
  <c r="P61" i="1"/>
  <c r="H61" i="1"/>
  <c r="AB60" i="1"/>
  <c r="T60" i="1"/>
  <c r="P60" i="1"/>
  <c r="L60" i="1"/>
  <c r="AB59" i="1"/>
  <c r="P59" i="1"/>
  <c r="AB58" i="1"/>
  <c r="P58" i="1"/>
  <c r="H58" i="1"/>
  <c r="L57" i="1"/>
  <c r="H57" i="1"/>
  <c r="X56" i="1"/>
  <c r="L56" i="1"/>
  <c r="H56" i="1"/>
  <c r="T55" i="1"/>
  <c r="L55" i="1"/>
  <c r="H55" i="1"/>
  <c r="X54" i="1"/>
  <c r="X53" i="1"/>
  <c r="T52" i="1"/>
  <c r="P52" i="1"/>
  <c r="X51" i="1"/>
  <c r="T51" i="1"/>
  <c r="L51" i="1"/>
  <c r="AB50" i="1"/>
  <c r="X50" i="1"/>
  <c r="T50" i="1"/>
  <c r="P50" i="1"/>
  <c r="L50" i="1"/>
  <c r="T49" i="1"/>
  <c r="P49" i="1"/>
  <c r="L49" i="1"/>
  <c r="L48" i="1"/>
  <c r="AB47" i="1"/>
  <c r="X47" i="1"/>
  <c r="P47" i="1"/>
  <c r="L47" i="1"/>
  <c r="H47" i="1"/>
  <c r="X46" i="1"/>
  <c r="T46" i="1"/>
  <c r="P46" i="1"/>
  <c r="AB45" i="1"/>
  <c r="T45" i="1"/>
  <c r="P45" i="1"/>
  <c r="AB44" i="1"/>
  <c r="X44" i="1"/>
  <c r="T44" i="1"/>
  <c r="P44" i="1"/>
  <c r="H44" i="1"/>
  <c r="AB43" i="1"/>
  <c r="P43" i="1"/>
  <c r="H43" i="1"/>
  <c r="AB42" i="1"/>
  <c r="P42" i="1"/>
  <c r="L42" i="1"/>
  <c r="L41" i="1"/>
  <c r="H41" i="1"/>
  <c r="X40" i="1"/>
  <c r="L40" i="1"/>
  <c r="H40" i="1"/>
  <c r="X39" i="1"/>
  <c r="H39" i="1"/>
  <c r="X38" i="1"/>
  <c r="T38" i="1"/>
  <c r="P38" i="1"/>
  <c r="H38" i="1"/>
  <c r="X37" i="1"/>
  <c r="T37" i="1"/>
  <c r="AB36" i="1"/>
  <c r="T36" i="1"/>
  <c r="L36" i="1"/>
  <c r="X35" i="1"/>
  <c r="T35" i="1"/>
  <c r="P35" i="1"/>
  <c r="X34" i="1"/>
  <c r="T34" i="1"/>
  <c r="P34" i="1"/>
  <c r="L34" i="1"/>
  <c r="H34" i="1"/>
  <c r="AB33" i="1"/>
  <c r="X33" i="1"/>
  <c r="P33" i="1"/>
  <c r="L33" i="1"/>
  <c r="T32" i="1"/>
  <c r="P32" i="1"/>
  <c r="L32" i="1"/>
  <c r="AB31" i="1"/>
  <c r="X31" i="1"/>
  <c r="T31" i="1"/>
  <c r="L31" i="1"/>
  <c r="H31" i="1"/>
  <c r="X30" i="1"/>
  <c r="T30" i="1"/>
  <c r="P30" i="1"/>
  <c r="L30" i="1"/>
  <c r="AB29" i="1"/>
  <c r="T29" i="1"/>
  <c r="P29" i="1"/>
  <c r="AB28" i="1"/>
  <c r="T28" i="1"/>
  <c r="P28" i="1"/>
  <c r="H28" i="1"/>
  <c r="AB27" i="1"/>
  <c r="X27" i="1"/>
  <c r="T27" i="1"/>
  <c r="P27" i="1"/>
  <c r="H27" i="1"/>
  <c r="AB26" i="1"/>
  <c r="P26" i="1"/>
  <c r="AB25" i="1"/>
  <c r="H25" i="1"/>
  <c r="X24" i="1"/>
  <c r="T24" i="1"/>
  <c r="L24" i="1"/>
  <c r="H24" i="1"/>
  <c r="X23" i="1"/>
  <c r="H23" i="1"/>
  <c r="X22" i="1"/>
  <c r="P22" i="1"/>
  <c r="L22" i="1"/>
  <c r="H22" i="1"/>
  <c r="X21" i="1"/>
  <c r="T21" i="1"/>
  <c r="T19" i="1"/>
  <c r="P19" i="1"/>
  <c r="L19" i="1"/>
  <c r="X18" i="1"/>
  <c r="T18" i="1"/>
  <c r="P18" i="1"/>
  <c r="L18" i="1"/>
  <c r="T17" i="1"/>
  <c r="P17" i="1"/>
  <c r="H17" i="1"/>
  <c r="X16" i="1"/>
  <c r="P16" i="1"/>
  <c r="L16" i="1"/>
  <c r="X15" i="1"/>
  <c r="T15" i="1"/>
  <c r="P15" i="1"/>
  <c r="L15" i="1"/>
  <c r="X14" i="1"/>
  <c r="T14" i="1"/>
  <c r="L14" i="1"/>
  <c r="H14" i="1"/>
  <c r="X13" i="1"/>
  <c r="T13" i="1"/>
  <c r="P13" i="1"/>
  <c r="H13" i="1"/>
  <c r="T12" i="1"/>
  <c r="P12" i="1"/>
  <c r="S11" i="1"/>
  <c r="T11" i="1" s="1"/>
  <c r="P11" i="1"/>
  <c r="H11" i="1"/>
  <c r="P10" i="1"/>
  <c r="L10" i="1"/>
  <c r="H10" i="1"/>
  <c r="O9" i="1"/>
  <c r="P9" i="1" s="1"/>
  <c r="H9" i="1"/>
  <c r="H8" i="1"/>
  <c r="K7" i="1"/>
  <c r="L7" i="1" s="1"/>
  <c r="H7" i="1"/>
</calcChain>
</file>

<file path=xl/sharedStrings.xml><?xml version="1.0" encoding="utf-8"?>
<sst xmlns="http://schemas.openxmlformats.org/spreadsheetml/2006/main" count="68" uniqueCount="49">
  <si>
    <t>Data e Hora</t>
  </si>
  <si>
    <t>Counts</t>
  </si>
  <si>
    <t>MM 4h</t>
  </si>
  <si>
    <t>N0_4h</t>
  </si>
  <si>
    <t>UTS_4h</t>
  </si>
  <si>
    <t>MM 6h</t>
  </si>
  <si>
    <t>N0_6h</t>
  </si>
  <si>
    <t>UTS_6h</t>
  </si>
  <si>
    <t>MM 8h</t>
  </si>
  <si>
    <t>N0_8h</t>
  </si>
  <si>
    <t>UTS_8h</t>
  </si>
  <si>
    <t>MM 10h</t>
  </si>
  <si>
    <t>N0_10h</t>
  </si>
  <si>
    <t>UTS_10h</t>
  </si>
  <si>
    <t>MM12h</t>
  </si>
  <si>
    <t>N0_12h</t>
  </si>
  <si>
    <t>UTS_12h</t>
  </si>
  <si>
    <t>MM24h</t>
  </si>
  <si>
    <t>N0_24h</t>
  </si>
  <si>
    <t>UTS_24h</t>
  </si>
  <si>
    <t>N0</t>
  </si>
  <si>
    <t>a0</t>
  </si>
  <si>
    <t>a1</t>
  </si>
  <si>
    <t>a2</t>
  </si>
  <si>
    <t>UTS</t>
  </si>
  <si>
    <t>Habs</t>
  </si>
  <si>
    <t>N</t>
  </si>
  <si>
    <t>CI</t>
  </si>
  <si>
    <t>Ch</t>
  </si>
  <si>
    <t>Cp</t>
  </si>
  <si>
    <t>Cveg</t>
  </si>
  <si>
    <t>Fcorr</t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</si>
  <si>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corr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</si>
  <si>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0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</si>
  <si>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abs</t>
    </r>
    <r>
      <rPr>
        <sz val="11"/>
        <color theme="1"/>
        <rFont val="Aptos Narrow"/>
        <family val="2"/>
        <scheme val="minor"/>
      </rPr>
      <t xml:space="preserve"> / gm</t>
    </r>
    <r>
      <rPr>
        <vertAlign val="superscript"/>
        <sz val="11"/>
        <color theme="1"/>
        <rFont val="Aptos Narrow"/>
        <family val="2"/>
        <scheme val="minor"/>
      </rPr>
      <t>-3</t>
    </r>
  </si>
  <si>
    <t>Ncorr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</si>
  <si>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Aptos Narrow"/>
        <family val="2"/>
      </rPr>
      <t>bulk</t>
    </r>
    <r>
      <rPr>
        <sz val="11"/>
        <color theme="1"/>
        <rFont val="Aptos Narrow"/>
        <family val="2"/>
      </rPr>
      <t xml:space="preserve"> / g cm</t>
    </r>
    <r>
      <rPr>
        <vertAlign val="superscript"/>
        <sz val="11"/>
        <color theme="1"/>
        <rFont val="Aptos Narrow"/>
        <family val="2"/>
      </rPr>
      <t>-3</t>
    </r>
  </si>
  <si>
    <r>
      <t>ρ</t>
    </r>
    <r>
      <rPr>
        <vertAlign val="subscript"/>
        <sz val="11"/>
        <color theme="1"/>
        <rFont val="Aptos Narrow"/>
        <family val="2"/>
      </rPr>
      <t>sim</t>
    </r>
    <r>
      <rPr>
        <vertAlign val="superscript"/>
        <sz val="11"/>
        <color theme="1"/>
        <rFont val="Aptos Narrow"/>
        <family val="2"/>
      </rPr>
      <t>bd</t>
    </r>
    <r>
      <rPr>
        <sz val="11"/>
        <color theme="1"/>
        <rFont val="Aptos Narrow"/>
        <family val="2"/>
      </rPr>
      <t xml:space="preserve"> / gcm</t>
    </r>
    <r>
      <rPr>
        <vertAlign val="superscript"/>
        <sz val="11"/>
        <color theme="1"/>
        <rFont val="Aptos Narrow"/>
        <family val="2"/>
      </rPr>
      <t>-3</t>
    </r>
  </si>
  <si>
    <r>
      <t>ϑ</t>
    </r>
    <r>
      <rPr>
        <vertAlign val="superscript"/>
        <sz val="11"/>
        <color theme="1"/>
        <rFont val="Aptos Narrow"/>
        <family val="2"/>
      </rPr>
      <t>loc</t>
    </r>
  </si>
  <si>
    <t>p0</t>
  </si>
  <si>
    <t>p1</t>
  </si>
  <si>
    <t>p2</t>
  </si>
  <si>
    <t>p3</t>
  </si>
  <si>
    <t>p4</t>
  </si>
  <si>
    <t>p5</t>
  </si>
  <si>
    <t>p6</t>
  </si>
  <si>
    <t>p7</t>
  </si>
  <si>
    <r>
      <t>N</t>
    </r>
    <r>
      <rPr>
        <vertAlign val="subscript"/>
        <sz val="11"/>
        <color theme="1"/>
        <rFont val="Aptos Narrow"/>
        <family val="2"/>
        <scheme val="minor"/>
      </rPr>
      <t>D</t>
    </r>
  </si>
  <si>
    <t>MM_8h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</si>
</sst>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1"/>
      <charset val="2"/>
    </font>
    <font>
      <sz val="11"/>
      <color theme="1"/>
      <name val="Symbol"/>
      <family val="1"/>
      <charset val="2"/>
    </font>
    <font>
      <vertAlign val="subscript"/>
      <sz val="11"/>
      <color theme="1"/>
      <name val="Aptos Narrow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1" fillId="0" borderId="0" xfId="0" applyFont="1"/>
    <xf numFmtId="22" fontId="3" fillId="0" borderId="0" xfId="0" applyNumberFormat="1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3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2" fontId="0" fillId="0" borderId="9" xfId="0" applyNumberFormat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'Sem ajuste calibração'!$C$1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933587664743794E-3"/>
                  <c:y val="7.22126159459454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'Sem ajuste calibração'!$A$2:$A$971</c:f>
              <c:numCache>
                <c:formatCode>m/d/yyyy\ h:mm</c:formatCode>
                <c:ptCount val="970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calibração'!$C$2:$C$971</c:f>
              <c:numCache>
                <c:formatCode>General</c:formatCode>
                <c:ptCount val="970"/>
                <c:pt idx="0">
                  <c:v>153</c:v>
                </c:pt>
                <c:pt idx="1">
                  <c:v>156.6</c:v>
                </c:pt>
                <c:pt idx="2">
                  <c:v>160.19999999999999</c:v>
                </c:pt>
                <c:pt idx="3">
                  <c:v>127.8</c:v>
                </c:pt>
                <c:pt idx="4">
                  <c:v>155.30000000000001</c:v>
                </c:pt>
                <c:pt idx="5">
                  <c:v>120.3</c:v>
                </c:pt>
                <c:pt idx="6">
                  <c:v>107.1</c:v>
                </c:pt>
                <c:pt idx="7">
                  <c:v>105.9</c:v>
                </c:pt>
                <c:pt idx="8">
                  <c:v>114.1</c:v>
                </c:pt>
                <c:pt idx="9">
                  <c:v>163.4</c:v>
                </c:pt>
                <c:pt idx="10">
                  <c:v>104.5</c:v>
                </c:pt>
                <c:pt idx="11">
                  <c:v>137</c:v>
                </c:pt>
                <c:pt idx="12">
                  <c:v>105.4</c:v>
                </c:pt>
                <c:pt idx="13">
                  <c:v>106.6</c:v>
                </c:pt>
                <c:pt idx="14">
                  <c:v>111.7</c:v>
                </c:pt>
                <c:pt idx="15">
                  <c:v>147.69999999999999</c:v>
                </c:pt>
                <c:pt idx="16">
                  <c:v>143.1</c:v>
                </c:pt>
                <c:pt idx="17">
                  <c:v>135.19999999999999</c:v>
                </c:pt>
                <c:pt idx="18">
                  <c:v>137.4</c:v>
                </c:pt>
                <c:pt idx="19">
                  <c:v>109</c:v>
                </c:pt>
                <c:pt idx="20">
                  <c:v>127.3</c:v>
                </c:pt>
                <c:pt idx="21">
                  <c:v>134.30000000000001</c:v>
                </c:pt>
                <c:pt idx="22">
                  <c:v>118.4</c:v>
                </c:pt>
                <c:pt idx="23">
                  <c:v>130.19999999999999</c:v>
                </c:pt>
                <c:pt idx="24">
                  <c:v>122.6</c:v>
                </c:pt>
                <c:pt idx="25">
                  <c:v>120.3</c:v>
                </c:pt>
                <c:pt idx="26">
                  <c:v>107.2</c:v>
                </c:pt>
                <c:pt idx="27">
                  <c:v>113.4</c:v>
                </c:pt>
                <c:pt idx="28">
                  <c:v>120.9</c:v>
                </c:pt>
                <c:pt idx="29">
                  <c:v>132</c:v>
                </c:pt>
                <c:pt idx="30">
                  <c:v>120.3</c:v>
                </c:pt>
                <c:pt idx="31">
                  <c:v>113.3</c:v>
                </c:pt>
                <c:pt idx="32">
                  <c:v>124.3</c:v>
                </c:pt>
                <c:pt idx="33">
                  <c:v>133.80000000000001</c:v>
                </c:pt>
                <c:pt idx="34">
                  <c:v>142.1</c:v>
                </c:pt>
                <c:pt idx="35">
                  <c:v>107.5</c:v>
                </c:pt>
                <c:pt idx="36">
                  <c:v>145.4</c:v>
                </c:pt>
                <c:pt idx="37">
                  <c:v>122.4</c:v>
                </c:pt>
                <c:pt idx="38">
                  <c:v>107.4</c:v>
                </c:pt>
                <c:pt idx="39">
                  <c:v>127.7</c:v>
                </c:pt>
                <c:pt idx="40">
                  <c:v>122.6</c:v>
                </c:pt>
                <c:pt idx="41">
                  <c:v>113.7</c:v>
                </c:pt>
                <c:pt idx="42">
                  <c:v>119.1</c:v>
                </c:pt>
                <c:pt idx="43">
                  <c:v>129.5</c:v>
                </c:pt>
                <c:pt idx="44">
                  <c:v>111</c:v>
                </c:pt>
                <c:pt idx="45">
                  <c:v>120.2</c:v>
                </c:pt>
                <c:pt idx="46">
                  <c:v>127.7</c:v>
                </c:pt>
                <c:pt idx="47">
                  <c:v>119.5</c:v>
                </c:pt>
                <c:pt idx="48">
                  <c:v>118.1</c:v>
                </c:pt>
                <c:pt idx="49">
                  <c:v>118.4</c:v>
                </c:pt>
                <c:pt idx="50">
                  <c:v>141.19999999999999</c:v>
                </c:pt>
                <c:pt idx="51">
                  <c:v>126.6</c:v>
                </c:pt>
                <c:pt idx="52">
                  <c:v>149.9</c:v>
                </c:pt>
                <c:pt idx="53">
                  <c:v>117.8</c:v>
                </c:pt>
                <c:pt idx="54">
                  <c:v>119.7</c:v>
                </c:pt>
                <c:pt idx="55">
                  <c:v>120.9</c:v>
                </c:pt>
                <c:pt idx="56">
                  <c:v>113.4</c:v>
                </c:pt>
                <c:pt idx="57">
                  <c:v>116</c:v>
                </c:pt>
                <c:pt idx="58">
                  <c:v>132.6</c:v>
                </c:pt>
                <c:pt idx="59">
                  <c:v>112.7</c:v>
                </c:pt>
                <c:pt idx="60">
                  <c:v>120.6</c:v>
                </c:pt>
                <c:pt idx="61">
                  <c:v>120.2</c:v>
                </c:pt>
                <c:pt idx="62">
                  <c:v>120.4</c:v>
                </c:pt>
                <c:pt idx="63">
                  <c:v>129.30000000000001</c:v>
                </c:pt>
                <c:pt idx="64">
                  <c:v>113.6</c:v>
                </c:pt>
                <c:pt idx="65">
                  <c:v>143.5</c:v>
                </c:pt>
                <c:pt idx="66">
                  <c:v>181.3</c:v>
                </c:pt>
                <c:pt idx="67">
                  <c:v>134.6</c:v>
                </c:pt>
                <c:pt idx="68">
                  <c:v>122.2</c:v>
                </c:pt>
                <c:pt idx="69">
                  <c:v>102.5</c:v>
                </c:pt>
                <c:pt idx="70">
                  <c:v>113.5</c:v>
                </c:pt>
                <c:pt idx="71">
                  <c:v>112.7</c:v>
                </c:pt>
                <c:pt idx="72">
                  <c:v>121.1</c:v>
                </c:pt>
                <c:pt idx="73">
                  <c:v>131.1</c:v>
                </c:pt>
                <c:pt idx="74">
                  <c:v>121.8</c:v>
                </c:pt>
                <c:pt idx="75">
                  <c:v>120.2</c:v>
                </c:pt>
                <c:pt idx="76">
                  <c:v>100.9</c:v>
                </c:pt>
                <c:pt idx="77">
                  <c:v>127.3</c:v>
                </c:pt>
                <c:pt idx="78">
                  <c:v>121.9</c:v>
                </c:pt>
                <c:pt idx="79">
                  <c:v>122.6</c:v>
                </c:pt>
                <c:pt idx="80">
                  <c:v>142.30000000000001</c:v>
                </c:pt>
                <c:pt idx="81">
                  <c:v>177</c:v>
                </c:pt>
                <c:pt idx="82">
                  <c:v>126.7</c:v>
                </c:pt>
                <c:pt idx="83">
                  <c:v>110.8</c:v>
                </c:pt>
                <c:pt idx="84">
                  <c:v>134.6</c:v>
                </c:pt>
                <c:pt idx="85">
                  <c:v>142.6</c:v>
                </c:pt>
                <c:pt idx="86">
                  <c:v>176.5</c:v>
                </c:pt>
                <c:pt idx="87">
                  <c:v>150.80000000000001</c:v>
                </c:pt>
                <c:pt idx="88">
                  <c:v>139.30000000000001</c:v>
                </c:pt>
                <c:pt idx="89">
                  <c:v>124</c:v>
                </c:pt>
                <c:pt idx="90">
                  <c:v>119.4</c:v>
                </c:pt>
                <c:pt idx="91">
                  <c:v>124.2</c:v>
                </c:pt>
                <c:pt idx="92">
                  <c:v>114.9</c:v>
                </c:pt>
                <c:pt idx="93">
                  <c:v>129</c:v>
                </c:pt>
                <c:pt idx="94">
                  <c:v>112</c:v>
                </c:pt>
                <c:pt idx="95">
                  <c:v>124.3</c:v>
                </c:pt>
                <c:pt idx="96">
                  <c:v>130.9</c:v>
                </c:pt>
                <c:pt idx="97">
                  <c:v>119</c:v>
                </c:pt>
                <c:pt idx="98">
                  <c:v>128.1</c:v>
                </c:pt>
                <c:pt idx="99">
                  <c:v>114.7</c:v>
                </c:pt>
                <c:pt idx="100">
                  <c:v>108.2</c:v>
                </c:pt>
                <c:pt idx="101">
                  <c:v>128.6</c:v>
                </c:pt>
                <c:pt idx="102">
                  <c:v>120.6</c:v>
                </c:pt>
                <c:pt idx="103">
                  <c:v>104.3</c:v>
                </c:pt>
                <c:pt idx="104">
                  <c:v>124.8</c:v>
                </c:pt>
                <c:pt idx="105">
                  <c:v>120.1</c:v>
                </c:pt>
                <c:pt idx="106">
                  <c:v>122.8</c:v>
                </c:pt>
                <c:pt idx="107">
                  <c:v>132.1</c:v>
                </c:pt>
                <c:pt idx="108">
                  <c:v>127.3</c:v>
                </c:pt>
                <c:pt idx="109">
                  <c:v>134.5</c:v>
                </c:pt>
                <c:pt idx="110">
                  <c:v>118.2</c:v>
                </c:pt>
                <c:pt idx="111">
                  <c:v>121.5</c:v>
                </c:pt>
                <c:pt idx="112">
                  <c:v>108.8</c:v>
                </c:pt>
                <c:pt idx="113">
                  <c:v>142.9</c:v>
                </c:pt>
                <c:pt idx="114">
                  <c:v>126.8</c:v>
                </c:pt>
                <c:pt idx="115">
                  <c:v>121</c:v>
                </c:pt>
                <c:pt idx="116">
                  <c:v>115.9</c:v>
                </c:pt>
                <c:pt idx="117">
                  <c:v>115.8</c:v>
                </c:pt>
                <c:pt idx="118">
                  <c:v>109.8</c:v>
                </c:pt>
                <c:pt idx="119">
                  <c:v>115.6</c:v>
                </c:pt>
                <c:pt idx="120">
                  <c:v>111.8</c:v>
                </c:pt>
                <c:pt idx="121">
                  <c:v>126.1</c:v>
                </c:pt>
                <c:pt idx="122">
                  <c:v>119.8</c:v>
                </c:pt>
                <c:pt idx="123">
                  <c:v>133.6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16-4035-B674-A42FBA20A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408063"/>
        <c:axId val="1290409023"/>
      </c:scatterChart>
      <c:valAx>
        <c:axId val="129040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0409023"/>
        <c:crosses val="autoZero"/>
        <c:crossBetween val="midCat"/>
      </c:valAx>
      <c:valAx>
        <c:axId val="12904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9040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UTS sem</a:t>
            </a:r>
            <a:r>
              <a:rPr lang="pt-PT" baseline="0"/>
              <a:t> picos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'Sem ajuste calibração'!$I$1</c:f>
              <c:strCache>
                <c:ptCount val="1"/>
                <c:pt idx="0">
                  <c:v>UTS_4h</c:v>
                </c:pt>
              </c:strCache>
            </c:strRef>
          </c:tx>
          <c:spPr>
            <a:ln w="25400" cap="rnd">
              <a:solidFill>
                <a:schemeClr val="accent1">
                  <a:alpha val="1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calibração'!$A$2:$A$998</c:f>
              <c:numCache>
                <c:formatCode>m/d/yyyy\ h:mm</c:formatCode>
                <c:ptCount val="997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calibração'!$I$2:$I$998</c:f>
              <c:numCache>
                <c:formatCode>General</c:formatCode>
                <c:ptCount val="997"/>
                <c:pt idx="3">
                  <c:v>22.761285961447768</c:v>
                </c:pt>
                <c:pt idx="4">
                  <c:v>22.56455974898137</c:v>
                </c:pt>
                <c:pt idx="5">
                  <c:v>27.92656918176651</c:v>
                </c:pt>
                <c:pt idx="6">
                  <c:v>39.494659290817339</c:v>
                </c:pt>
                <c:pt idx="7">
                  <c:v>46.774782666196877</c:v>
                </c:pt>
                <c:pt idx="8">
                  <c:v>70.678587841337162</c:v>
                </c:pt>
                <c:pt idx="9">
                  <c:v>46.374178095716061</c:v>
                </c:pt>
                <c:pt idx="10">
                  <c:v>47.629815496466023</c:v>
                </c:pt>
                <c:pt idx="11">
                  <c:v>37.79250238926749</c:v>
                </c:pt>
                <c:pt idx="12">
                  <c:v>39.301714415643239</c:v>
                </c:pt>
                <c:pt idx="13">
                  <c:v>62.00917646542937</c:v>
                </c:pt>
                <c:pt idx="14">
                  <c:v>53.974792657644088</c:v>
                </c:pt>
                <c:pt idx="15">
                  <c:v>48.325556359678536</c:v>
                </c:pt>
                <c:pt idx="16">
                  <c:v>37.001075229866323</c:v>
                </c:pt>
                <c:pt idx="17">
                  <c:v>31.488439475583181</c:v>
                </c:pt>
                <c:pt idx="18">
                  <c:v>27.426335720637663</c:v>
                </c:pt>
                <c:pt idx="19">
                  <c:v>35.713735096140546</c:v>
                </c:pt>
                <c:pt idx="20">
                  <c:v>40.443681972470607</c:v>
                </c:pt>
                <c:pt idx="21">
                  <c:v>40.919917688875927</c:v>
                </c:pt>
                <c:pt idx="22">
                  <c:v>47.814790118998864</c:v>
                </c:pt>
                <c:pt idx="23">
                  <c:v>40.627498431888462</c:v>
                </c:pt>
                <c:pt idx="24">
                  <c:v>42.217202427564956</c:v>
                </c:pt>
                <c:pt idx="25">
                  <c:v>47.388645620321782</c:v>
                </c:pt>
                <c:pt idx="26">
                  <c:v>52.346599296587002</c:v>
                </c:pt>
                <c:pt idx="27">
                  <c:v>61.053684988173998</c:v>
                </c:pt>
                <c:pt idx="28">
                  <c:v>58.221448246237543</c:v>
                </c:pt>
                <c:pt idx="29">
                  <c:v>39.629493442867606</c:v>
                </c:pt>
                <c:pt idx="30">
                  <c:v>37.089598046031433</c:v>
                </c:pt>
                <c:pt idx="31">
                  <c:v>40.1805883419254</c:v>
                </c:pt>
                <c:pt idx="32">
                  <c:v>42.449800173945803</c:v>
                </c:pt>
                <c:pt idx="33">
                  <c:v>43.628080912516246</c:v>
                </c:pt>
                <c:pt idx="34">
                  <c:v>37.656493468494503</c:v>
                </c:pt>
                <c:pt idx="35">
                  <c:v>40.054901499808437</c:v>
                </c:pt>
                <c:pt idx="36">
                  <c:v>34.92831706675301</c:v>
                </c:pt>
                <c:pt idx="37">
                  <c:v>38.093342022527686</c:v>
                </c:pt>
                <c:pt idx="38">
                  <c:v>50.297575417811444</c:v>
                </c:pt>
                <c:pt idx="39">
                  <c:v>42.513573625117012</c:v>
                </c:pt>
                <c:pt idx="40">
                  <c:v>51.3334791085327</c:v>
                </c:pt>
                <c:pt idx="41">
                  <c:v>55.639777193382891</c:v>
                </c:pt>
                <c:pt idx="42">
                  <c:v>50.154865766429836</c:v>
                </c:pt>
                <c:pt idx="43">
                  <c:v>49.599509840248615</c:v>
                </c:pt>
                <c:pt idx="44">
                  <c:v>55.267157554352906</c:v>
                </c:pt>
                <c:pt idx="45">
                  <c:v>49.441125053652968</c:v>
                </c:pt>
                <c:pt idx="46">
                  <c:v>43.016740829124352</c:v>
                </c:pt>
                <c:pt idx="47">
                  <c:v>37.610657446424526</c:v>
                </c:pt>
                <c:pt idx="48">
                  <c:v>40.444961935038293</c:v>
                </c:pt>
                <c:pt idx="49">
                  <c:v>37.559628724148858</c:v>
                </c:pt>
                <c:pt idx="50">
                  <c:v>35.645417561312598</c:v>
                </c:pt>
                <c:pt idx="51">
                  <c:v>37.319201515663039</c:v>
                </c:pt>
                <c:pt idx="52">
                  <c:v>31.924869523065851</c:v>
                </c:pt>
                <c:pt idx="53">
                  <c:v>33.200867049020786</c:v>
                </c:pt>
                <c:pt idx="54">
                  <c:v>38.02199825316049</c:v>
                </c:pt>
                <c:pt idx="55">
                  <c:v>40.079666606734129</c:v>
                </c:pt>
                <c:pt idx="56">
                  <c:v>53.687716223061166</c:v>
                </c:pt>
                <c:pt idx="57">
                  <c:v>55.15002456815423</c:v>
                </c:pt>
                <c:pt idx="58">
                  <c:v>49.639231101147409</c:v>
                </c:pt>
                <c:pt idx="59">
                  <c:v>53.027112327337363</c:v>
                </c:pt>
                <c:pt idx="60">
                  <c:v>48.58124288554486</c:v>
                </c:pt>
                <c:pt idx="61">
                  <c:v>47.00798763717755</c:v>
                </c:pt>
                <c:pt idx="62">
                  <c:v>51.641491386023432</c:v>
                </c:pt>
                <c:pt idx="63">
                  <c:v>45.991457025166397</c:v>
                </c:pt>
                <c:pt idx="64">
                  <c:v>49.13380478620585</c:v>
                </c:pt>
                <c:pt idx="65">
                  <c:v>39.572588635408827</c:v>
                </c:pt>
                <c:pt idx="66">
                  <c:v>25.91438214777526</c:v>
                </c:pt>
                <c:pt idx="67">
                  <c:v>24.597365175770982</c:v>
                </c:pt>
                <c:pt idx="68">
                  <c:v>23.33016315318546</c:v>
                </c:pt>
                <c:pt idx="69">
                  <c:v>29.505711160161617</c:v>
                </c:pt>
                <c:pt idx="70">
                  <c:v>49.839842411763499</c:v>
                </c:pt>
                <c:pt idx="71">
                  <c:v>63.390308368229611</c:v>
                </c:pt>
                <c:pt idx="72">
                  <c:v>65.991811978164321</c:v>
                </c:pt>
                <c:pt idx="73">
                  <c:v>50.44910668046969</c:v>
                </c:pt>
                <c:pt idx="74">
                  <c:v>47.834157372184499</c:v>
                </c:pt>
                <c:pt idx="75">
                  <c:v>45.044858423072768</c:v>
                </c:pt>
                <c:pt idx="76">
                  <c:v>54.243201179217316</c:v>
                </c:pt>
                <c:pt idx="77">
                  <c:v>56.455853790863387</c:v>
                </c:pt>
                <c:pt idx="78">
                  <c:v>56.528198229832817</c:v>
                </c:pt>
                <c:pt idx="79">
                  <c:v>55.45573827322319</c:v>
                </c:pt>
                <c:pt idx="80">
                  <c:v>39.208283423675013</c:v>
                </c:pt>
                <c:pt idx="81">
                  <c:v>28.26229296377284</c:v>
                </c:pt>
                <c:pt idx="82">
                  <c:v>26.735248539533359</c:v>
                </c:pt>
                <c:pt idx="83">
                  <c:v>28.784149324619918</c:v>
                </c:pt>
                <c:pt idx="84">
                  <c:v>30.51593342961668</c:v>
                </c:pt>
                <c:pt idx="85">
                  <c:v>39.59971938806828</c:v>
                </c:pt>
                <c:pt idx="86">
                  <c:v>28.531318210599434</c:v>
                </c:pt>
                <c:pt idx="87">
                  <c:v>22.392566208996961</c:v>
                </c:pt>
                <c:pt idx="88">
                  <c:v>21.774985112472688</c:v>
                </c:pt>
                <c:pt idx="89">
                  <c:v>24.254794436991499</c:v>
                </c:pt>
                <c:pt idx="90">
                  <c:v>34.585780377531513</c:v>
                </c:pt>
                <c:pt idx="91">
                  <c:v>41.19752851177747</c:v>
                </c:pt>
                <c:pt idx="92">
                  <c:v>50.178020496421517</c:v>
                </c:pt>
                <c:pt idx="93">
                  <c:v>48.218346235461141</c:v>
                </c:pt>
                <c:pt idx="94">
                  <c:v>54.297394202334672</c:v>
                </c:pt>
                <c:pt idx="95">
                  <c:v>53.914616970599319</c:v>
                </c:pt>
                <c:pt idx="96">
                  <c:v>44.676137877867838</c:v>
                </c:pt>
                <c:pt idx="97">
                  <c:v>49.057006847454069</c:v>
                </c:pt>
                <c:pt idx="98">
                  <c:v>43.195683823439964</c:v>
                </c:pt>
                <c:pt idx="99">
                  <c:v>46.510000811329178</c:v>
                </c:pt>
                <c:pt idx="100">
                  <c:v>58.209322083946581</c:v>
                </c:pt>
                <c:pt idx="101">
                  <c:v>55.020471309307261</c:v>
                </c:pt>
                <c:pt idx="102">
                  <c:v>60.062121532728561</c:v>
                </c:pt>
                <c:pt idx="103">
                  <c:v>68.390018636452211</c:v>
                </c:pt>
                <c:pt idx="104">
                  <c:v>57.299028386116525</c:v>
                </c:pt>
                <c:pt idx="105">
                  <c:v>62.091770282528337</c:v>
                </c:pt>
                <c:pt idx="106">
                  <c:v>59.74105195804129</c:v>
                </c:pt>
                <c:pt idx="107">
                  <c:v>45.836341081548319</c:v>
                </c:pt>
                <c:pt idx="108">
                  <c:v>44.483695774321767</c:v>
                </c:pt>
                <c:pt idx="109">
                  <c:v>39.788598276011946</c:v>
                </c:pt>
                <c:pt idx="110">
                  <c:v>40.926396633790993</c:v>
                </c:pt>
                <c:pt idx="111">
                  <c:v>43.872556230238679</c:v>
                </c:pt>
                <c:pt idx="112">
                  <c:v>51.380653043259827</c:v>
                </c:pt>
                <c:pt idx="113">
                  <c:v>47.878520643238843</c:v>
                </c:pt>
                <c:pt idx="114">
                  <c:v>41.997498256229569</c:v>
                </c:pt>
                <c:pt idx="115">
                  <c:v>42.56101242318131</c:v>
                </c:pt>
                <c:pt idx="116">
                  <c:v>41.15997839028531</c:v>
                </c:pt>
                <c:pt idx="117">
                  <c:v>52.30591375483651</c:v>
                </c:pt>
                <c:pt idx="118">
                  <c:v>61.859551212648114</c:v>
                </c:pt>
                <c:pt idx="119">
                  <c:v>65.854295803699273</c:v>
                </c:pt>
                <c:pt idx="120">
                  <c:v>69.500257299309283</c:v>
                </c:pt>
                <c:pt idx="121">
                  <c:v>61.912838669020772</c:v>
                </c:pt>
                <c:pt idx="122">
                  <c:v>56.489285108562648</c:v>
                </c:pt>
                <c:pt idx="123">
                  <c:v>48.274171640074798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9-4C5B-9996-11DCE3006A28}"/>
            </c:ext>
          </c:extLst>
        </c:ser>
        <c:ser>
          <c:idx val="1"/>
          <c:order val="1"/>
          <c:tx>
            <c:strRef>
              <c:f>'Sem ajuste calibração'!$M$1</c:f>
              <c:strCache>
                <c:ptCount val="1"/>
                <c:pt idx="0">
                  <c:v>UTS_6h</c:v>
                </c:pt>
              </c:strCache>
            </c:strRef>
          </c:tx>
          <c:spPr>
            <a:ln w="25400" cap="rnd">
              <a:solidFill>
                <a:schemeClr val="accent2">
                  <a:alpha val="2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calibração'!$A$2:$A$998</c:f>
              <c:numCache>
                <c:formatCode>m/d/yyyy\ h:mm</c:formatCode>
                <c:ptCount val="997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calibração'!$M$2:$M$998</c:f>
              <c:numCache>
                <c:formatCode>General</c:formatCode>
                <c:ptCount val="997"/>
                <c:pt idx="5">
                  <c:v>25.018709077111168</c:v>
                </c:pt>
                <c:pt idx="6">
                  <c:v>29.904934402932849</c:v>
                </c:pt>
                <c:pt idx="7">
                  <c:v>37.425373074403687</c:v>
                </c:pt>
                <c:pt idx="8">
                  <c:v>47.569573228413994</c:v>
                </c:pt>
                <c:pt idx="9">
                  <c:v>39.631845341806901</c:v>
                </c:pt>
                <c:pt idx="10">
                  <c:v>52.436512770523215</c:v>
                </c:pt>
                <c:pt idx="11">
                  <c:v>47.981336625254521</c:v>
                </c:pt>
                <c:pt idx="12">
                  <c:v>47.207219796827133</c:v>
                </c:pt>
                <c:pt idx="13">
                  <c:v>45.224176548560763</c:v>
                </c:pt>
                <c:pt idx="14">
                  <c:v>43.30119412103582</c:v>
                </c:pt>
                <c:pt idx="15">
                  <c:v>46.724930483393699</c:v>
                </c:pt>
                <c:pt idx="16">
                  <c:v>39.281996060494976</c:v>
                </c:pt>
                <c:pt idx="17">
                  <c:v>41.133153762035079</c:v>
                </c:pt>
                <c:pt idx="18">
                  <c:v>36.089940792775899</c:v>
                </c:pt>
                <c:pt idx="19">
                  <c:v>36.205147492369619</c:v>
                </c:pt>
                <c:pt idx="20">
                  <c:v>34.085509656244291</c:v>
                </c:pt>
                <c:pt idx="21">
                  <c:v>36.406003879565191</c:v>
                </c:pt>
                <c:pt idx="22">
                  <c:v>41.224120498177122</c:v>
                </c:pt>
                <c:pt idx="23">
                  <c:v>42.444393434880737</c:v>
                </c:pt>
                <c:pt idx="24">
                  <c:v>46.016008261465061</c:v>
                </c:pt>
                <c:pt idx="25">
                  <c:v>43.537670820500388</c:v>
                </c:pt>
                <c:pt idx="26">
                  <c:v>48.66677167192443</c:v>
                </c:pt>
                <c:pt idx="27">
                  <c:v>54.647850658365002</c:v>
                </c:pt>
                <c:pt idx="28">
                  <c:v>50.697295074146432</c:v>
                </c:pt>
                <c:pt idx="29">
                  <c:v>38.335515303528972</c:v>
                </c:pt>
                <c:pt idx="30">
                  <c:v>40.321108793142798</c:v>
                </c:pt>
                <c:pt idx="31">
                  <c:v>45.492963384538484</c:v>
                </c:pt>
                <c:pt idx="32">
                  <c:v>44.965843129149931</c:v>
                </c:pt>
                <c:pt idx="33">
                  <c:v>42.040794254194758</c:v>
                </c:pt>
                <c:pt idx="34">
                  <c:v>38.475577769717788</c:v>
                </c:pt>
                <c:pt idx="35">
                  <c:v>44.447736814982207</c:v>
                </c:pt>
                <c:pt idx="36">
                  <c:v>39.636635400926515</c:v>
                </c:pt>
                <c:pt idx="37">
                  <c:v>38.202720854592847</c:v>
                </c:pt>
                <c:pt idx="38">
                  <c:v>41.725423912248601</c:v>
                </c:pt>
                <c:pt idx="39">
                  <c:v>42.920024154159591</c:v>
                </c:pt>
                <c:pt idx="40">
                  <c:v>47.67874480722439</c:v>
                </c:pt>
                <c:pt idx="41">
                  <c:v>46.096561876501049</c:v>
                </c:pt>
                <c:pt idx="42">
                  <c:v>53.808307901318784</c:v>
                </c:pt>
                <c:pt idx="43">
                  <c:v>51.778875267838785</c:v>
                </c:pt>
                <c:pt idx="44">
                  <c:v>50.86697967424395</c:v>
                </c:pt>
                <c:pt idx="45">
                  <c:v>50.496117803474228</c:v>
                </c:pt>
                <c:pt idx="46">
                  <c:v>45.782344259346992</c:v>
                </c:pt>
                <c:pt idx="47">
                  <c:v>35.807221096158948</c:v>
                </c:pt>
                <c:pt idx="48">
                  <c:v>40.930286760520538</c:v>
                </c:pt>
                <c:pt idx="49">
                  <c:v>39.743003698877729</c:v>
                </c:pt>
                <c:pt idx="50">
                  <c:v>35.7692799885303</c:v>
                </c:pt>
                <c:pt idx="51">
                  <c:v>38.243333712506015</c:v>
                </c:pt>
                <c:pt idx="52">
                  <c:v>36.67953914119385</c:v>
                </c:pt>
                <c:pt idx="53">
                  <c:v>38.348405774174502</c:v>
                </c:pt>
                <c:pt idx="54">
                  <c:v>37.55117386260315</c:v>
                </c:pt>
                <c:pt idx="55">
                  <c:v>37.510992723629023</c:v>
                </c:pt>
                <c:pt idx="56">
                  <c:v>42.682129815581774</c:v>
                </c:pt>
                <c:pt idx="57">
                  <c:v>45.551456352925399</c:v>
                </c:pt>
                <c:pt idx="58">
                  <c:v>50.796461215337715</c:v>
                </c:pt>
                <c:pt idx="59">
                  <c:v>51.990539189206764</c:v>
                </c:pt>
                <c:pt idx="60">
                  <c:v>50.498893086009829</c:v>
                </c:pt>
                <c:pt idx="61">
                  <c:v>50.850086174189777</c:v>
                </c:pt>
                <c:pt idx="62">
                  <c:v>48.225141327453194</c:v>
                </c:pt>
                <c:pt idx="63">
                  <c:v>45.978902097407598</c:v>
                </c:pt>
                <c:pt idx="64">
                  <c:v>51.627084591025927</c:v>
                </c:pt>
                <c:pt idx="65">
                  <c:v>42.177206079662149</c:v>
                </c:pt>
                <c:pt idx="66">
                  <c:v>31.01846277952464</c:v>
                </c:pt>
                <c:pt idx="67">
                  <c:v>28.560128160006681</c:v>
                </c:pt>
                <c:pt idx="68">
                  <c:v>28.265568837312838</c:v>
                </c:pt>
                <c:pt idx="69">
                  <c:v>31.252220497696431</c:v>
                </c:pt>
                <c:pt idx="70">
                  <c:v>31.862746333015942</c:v>
                </c:pt>
                <c:pt idx="71">
                  <c:v>37.45315919781266</c:v>
                </c:pt>
                <c:pt idx="72">
                  <c:v>53.019176639227879</c:v>
                </c:pt>
                <c:pt idx="73">
                  <c:v>55.137397877728525</c:v>
                </c:pt>
                <c:pt idx="74">
                  <c:v>56.385536914609688</c:v>
                </c:pt>
                <c:pt idx="75">
                  <c:v>50.64582152530167</c:v>
                </c:pt>
                <c:pt idx="76">
                  <c:v>55.344679988435587</c:v>
                </c:pt>
                <c:pt idx="77">
                  <c:v>50.821875109225488</c:v>
                </c:pt>
                <c:pt idx="78">
                  <c:v>50.690676774401958</c:v>
                </c:pt>
                <c:pt idx="79">
                  <c:v>53.536789821069775</c:v>
                </c:pt>
                <c:pt idx="80">
                  <c:v>47.210922103221897</c:v>
                </c:pt>
                <c:pt idx="81">
                  <c:v>35.600902609446869</c:v>
                </c:pt>
                <c:pt idx="82">
                  <c:v>30.906475270394061</c:v>
                </c:pt>
                <c:pt idx="83">
                  <c:v>33.278988311864225</c:v>
                </c:pt>
                <c:pt idx="84">
                  <c:v>31.802350592947182</c:v>
                </c:pt>
                <c:pt idx="85">
                  <c:v>30.006338998237332</c:v>
                </c:pt>
                <c:pt idx="86">
                  <c:v>26.196908071267782</c:v>
                </c:pt>
                <c:pt idx="87">
                  <c:v>28.760071830503549</c:v>
                </c:pt>
                <c:pt idx="88">
                  <c:v>27.269456040889771</c:v>
                </c:pt>
                <c:pt idx="89">
                  <c:v>26.002366751698542</c:v>
                </c:pt>
                <c:pt idx="90">
                  <c:v>27.71050325007166</c:v>
                </c:pt>
                <c:pt idx="91">
                  <c:v>29.47656936882818</c:v>
                </c:pt>
                <c:pt idx="92">
                  <c:v>38.792463810300347</c:v>
                </c:pt>
                <c:pt idx="93">
                  <c:v>43.385985251108359</c:v>
                </c:pt>
                <c:pt idx="94">
                  <c:v>53.20362244573883</c:v>
                </c:pt>
                <c:pt idx="95">
                  <c:v>52.786044307270267</c:v>
                </c:pt>
                <c:pt idx="96">
                  <c:v>46.906487505823719</c:v>
                </c:pt>
                <c:pt idx="97">
                  <c:v>48.834433948123312</c:v>
                </c:pt>
                <c:pt idx="98">
                  <c:v>45.566948055243564</c:v>
                </c:pt>
                <c:pt idx="99">
                  <c:v>49.19216829058746</c:v>
                </c:pt>
                <c:pt idx="100">
                  <c:v>51.342068270454554</c:v>
                </c:pt>
                <c:pt idx="101">
                  <c:v>51.773529746138955</c:v>
                </c:pt>
                <c:pt idx="102">
                  <c:v>55.912652630593804</c:v>
                </c:pt>
                <c:pt idx="103">
                  <c:v>62.656343736265583</c:v>
                </c:pt>
                <c:pt idx="104">
                  <c:v>63.934770782009608</c:v>
                </c:pt>
                <c:pt idx="105">
                  <c:v>61.28479844299676</c:v>
                </c:pt>
                <c:pt idx="106">
                  <c:v>54.890905813847205</c:v>
                </c:pt>
                <c:pt idx="107">
                  <c:v>52.766195681766078</c:v>
                </c:pt>
                <c:pt idx="108">
                  <c:v>50.187594422012737</c:v>
                </c:pt>
                <c:pt idx="109">
                  <c:v>42.530160313888999</c:v>
                </c:pt>
                <c:pt idx="110">
                  <c:v>43.741516048972031</c:v>
                </c:pt>
                <c:pt idx="111">
                  <c:v>42.94167114052722</c:v>
                </c:pt>
                <c:pt idx="112">
                  <c:v>46.442607923659715</c:v>
                </c:pt>
                <c:pt idx="113">
                  <c:v>43.912913367031379</c:v>
                </c:pt>
                <c:pt idx="114">
                  <c:v>41.42135465463452</c:v>
                </c:pt>
                <c:pt idx="115">
                  <c:v>44.87573835527359</c:v>
                </c:pt>
                <c:pt idx="116">
                  <c:v>46.427445606915128</c:v>
                </c:pt>
                <c:pt idx="117">
                  <c:v>48.788493377271159</c:v>
                </c:pt>
                <c:pt idx="118">
                  <c:v>48.625132834451421</c:v>
                </c:pt>
                <c:pt idx="119">
                  <c:v>57.547985530339695</c:v>
                </c:pt>
                <c:pt idx="120">
                  <c:v>64.189249338528327</c:v>
                </c:pt>
                <c:pt idx="121">
                  <c:v>61.891067639176121</c:v>
                </c:pt>
                <c:pt idx="122">
                  <c:v>60.787020174129061</c:v>
                </c:pt>
                <c:pt idx="123">
                  <c:v>54.353016073387295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69-4C5B-9996-11DCE3006A28}"/>
            </c:ext>
          </c:extLst>
        </c:ser>
        <c:ser>
          <c:idx val="2"/>
          <c:order val="2"/>
          <c:tx>
            <c:strRef>
              <c:f>'Sem ajuste calibração'!$Q$1</c:f>
              <c:strCache>
                <c:ptCount val="1"/>
                <c:pt idx="0">
                  <c:v>UTS_8h</c:v>
                </c:pt>
              </c:strCache>
            </c:strRef>
          </c:tx>
          <c:spPr>
            <a:ln w="15240" cap="rnd">
              <a:solidFill>
                <a:schemeClr val="accent3">
                  <a:alpha val="22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5"/>
            <c:marker>
              <c:symbol val="none"/>
            </c:marker>
            <c:bubble3D val="0"/>
            <c:spPr>
              <a:ln w="15240" cap="rnd">
                <a:solidFill>
                  <a:schemeClr val="accent3">
                    <a:alpha val="1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21-4847-B172-DE3B7ABBC630}"/>
              </c:ext>
            </c:extLst>
          </c:dPt>
          <c:xVal>
            <c:numRef>
              <c:f>'Sem ajuste calibração'!$A$2:$A$998</c:f>
              <c:numCache>
                <c:formatCode>m/d/yyyy\ h:mm</c:formatCode>
                <c:ptCount val="997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calibração'!$Q$2:$Q$998</c:f>
              <c:numCache>
                <c:formatCode>General</c:formatCode>
                <c:ptCount val="997"/>
                <c:pt idx="7">
                  <c:v>31.514977518890642</c:v>
                </c:pt>
                <c:pt idx="8">
                  <c:v>36.014468430862415</c:v>
                </c:pt>
                <c:pt idx="9">
                  <c:v>35.294610453189378</c:v>
                </c:pt>
                <c:pt idx="10">
                  <c:v>43.4674410231978</c:v>
                </c:pt>
                <c:pt idx="11">
                  <c:v>42.276086706195798</c:v>
                </c:pt>
                <c:pt idx="12">
                  <c:v>50.576919939152084</c:v>
                </c:pt>
                <c:pt idx="13">
                  <c:v>51.623184239653916</c:v>
                </c:pt>
                <c:pt idx="14">
                  <c:v>47.657512393023218</c:v>
                </c:pt>
                <c:pt idx="15">
                  <c:v>39.756744125672512</c:v>
                </c:pt>
                <c:pt idx="16">
                  <c:v>36.840650538594112</c:v>
                </c:pt>
                <c:pt idx="17">
                  <c:v>42.492910043569601</c:v>
                </c:pt>
                <c:pt idx="18">
                  <c:v>38.505876810086306</c:v>
                </c:pt>
                <c:pt idx="19">
                  <c:v>43.44006135045769</c:v>
                </c:pt>
                <c:pt idx="20">
                  <c:v>40.413588809566306</c:v>
                </c:pt>
                <c:pt idx="21">
                  <c:v>36.750777711239948</c:v>
                </c:pt>
                <c:pt idx="22">
                  <c:v>36.091726238784446</c:v>
                </c:pt>
                <c:pt idx="23">
                  <c:v>38.531359489609429</c:v>
                </c:pt>
                <c:pt idx="24">
                  <c:v>41.676160832190675</c:v>
                </c:pt>
                <c:pt idx="25">
                  <c:v>44.334325184742305</c:v>
                </c:pt>
                <c:pt idx="26">
                  <c:v>50.371911877559981</c:v>
                </c:pt>
                <c:pt idx="27">
                  <c:v>49.047409428625087</c:v>
                </c:pt>
                <c:pt idx="28">
                  <c:v>47.60220423380057</c:v>
                </c:pt>
                <c:pt idx="29">
                  <c:v>36.87714897835496</c:v>
                </c:pt>
                <c:pt idx="30">
                  <c:v>38.010427492963089</c:v>
                </c:pt>
                <c:pt idx="31">
                  <c:v>44.121379426531796</c:v>
                </c:pt>
                <c:pt idx="32">
                  <c:v>47.691289739584199</c:v>
                </c:pt>
                <c:pt idx="33">
                  <c:v>47.012632400260664</c:v>
                </c:pt>
                <c:pt idx="34">
                  <c:v>41.617314009337605</c:v>
                </c:pt>
                <c:pt idx="35">
                  <c:v>43.437163045150079</c:v>
                </c:pt>
                <c:pt idx="36">
                  <c:v>40.103044110791551</c:v>
                </c:pt>
                <c:pt idx="37">
                  <c:v>41.882979266848608</c:v>
                </c:pt>
                <c:pt idx="38">
                  <c:v>44.26521594765174</c:v>
                </c:pt>
                <c:pt idx="39">
                  <c:v>41.741055056677837</c:v>
                </c:pt>
                <c:pt idx="40">
                  <c:v>42.037345300109649</c:v>
                </c:pt>
                <c:pt idx="41">
                  <c:v>45.50212198248164</c:v>
                </c:pt>
                <c:pt idx="42">
                  <c:v>50.242387230770426</c:v>
                </c:pt>
                <c:pt idx="43">
                  <c:v>46.003540676217554</c:v>
                </c:pt>
                <c:pt idx="44">
                  <c:v>53.541616723729902</c:v>
                </c:pt>
                <c:pt idx="45">
                  <c:v>51.314893283545658</c:v>
                </c:pt>
                <c:pt idx="46">
                  <c:v>43.947547542929279</c:v>
                </c:pt>
                <c:pt idx="47">
                  <c:v>36.657621292051864</c:v>
                </c:pt>
                <c:pt idx="48">
                  <c:v>42.481198032525555</c:v>
                </c:pt>
                <c:pt idx="49">
                  <c:v>38.139429423749235</c:v>
                </c:pt>
                <c:pt idx="50">
                  <c:v>36.841044415422218</c:v>
                </c:pt>
                <c:pt idx="51">
                  <c:v>41.171794059596166</c:v>
                </c:pt>
                <c:pt idx="52">
                  <c:v>38.022793448786629</c:v>
                </c:pt>
                <c:pt idx="53">
                  <c:v>39.79470492752877</c:v>
                </c:pt>
                <c:pt idx="54">
                  <c:v>40.446003600127064</c:v>
                </c:pt>
                <c:pt idx="55">
                  <c:v>40.682996115483512</c:v>
                </c:pt>
                <c:pt idx="56">
                  <c:v>41.049070913039529</c:v>
                </c:pt>
                <c:pt idx="57">
                  <c:v>41.78671084950421</c:v>
                </c:pt>
                <c:pt idx="58">
                  <c:v>43.670307536204959</c:v>
                </c:pt>
                <c:pt idx="59">
                  <c:v>45.861556789644922</c:v>
                </c:pt>
                <c:pt idx="60">
                  <c:v>50.776639462055904</c:v>
                </c:pt>
                <c:pt idx="61">
                  <c:v>50.37797664794509</c:v>
                </c:pt>
                <c:pt idx="62">
                  <c:v>49.610246652324079</c:v>
                </c:pt>
                <c:pt idx="63">
                  <c:v>49.148689860413953</c:v>
                </c:pt>
                <c:pt idx="64">
                  <c:v>49.474317439569397</c:v>
                </c:pt>
                <c:pt idx="65">
                  <c:v>42.823162508391746</c:v>
                </c:pt>
                <c:pt idx="66">
                  <c:v>35.025984796530864</c:v>
                </c:pt>
                <c:pt idx="67">
                  <c:v>31.822746708234291</c:v>
                </c:pt>
                <c:pt idx="68">
                  <c:v>31.563664576191691</c:v>
                </c:pt>
                <c:pt idx="69">
                  <c:v>33.00187023940196</c:v>
                </c:pt>
                <c:pt idx="70">
                  <c:v>34.447200113289931</c:v>
                </c:pt>
                <c:pt idx="71">
                  <c:v>37.250787590933584</c:v>
                </c:pt>
                <c:pt idx="72">
                  <c:v>37.024634090514233</c:v>
                </c:pt>
                <c:pt idx="73">
                  <c:v>39.302564287017937</c:v>
                </c:pt>
                <c:pt idx="74">
                  <c:v>50.791053885947676</c:v>
                </c:pt>
                <c:pt idx="75">
                  <c:v>54.327062405632617</c:v>
                </c:pt>
                <c:pt idx="76">
                  <c:v>61.129601397441355</c:v>
                </c:pt>
                <c:pt idx="77">
                  <c:v>54.298156382776</c:v>
                </c:pt>
                <c:pt idx="78">
                  <c:v>52.357684799854987</c:v>
                </c:pt>
                <c:pt idx="79">
                  <c:v>50.292560022703327</c:v>
                </c:pt>
                <c:pt idx="80">
                  <c:v>45.719465150479799</c:v>
                </c:pt>
                <c:pt idx="81">
                  <c:v>38.459532855233455</c:v>
                </c:pt>
                <c:pt idx="82">
                  <c:v>36.744644937450587</c:v>
                </c:pt>
                <c:pt idx="83">
                  <c:v>38.076357529862563</c:v>
                </c:pt>
                <c:pt idx="84">
                  <c:v>34.217066495498798</c:v>
                </c:pt>
                <c:pt idx="85">
                  <c:v>33.409616494530923</c:v>
                </c:pt>
                <c:pt idx="86">
                  <c:v>28.178442180315109</c:v>
                </c:pt>
                <c:pt idx="87">
                  <c:v>25.62595209060559</c:v>
                </c:pt>
                <c:pt idx="88">
                  <c:v>25.792139039964468</c:v>
                </c:pt>
                <c:pt idx="89">
                  <c:v>30.423999658790919</c:v>
                </c:pt>
                <c:pt idx="90">
                  <c:v>31.24704622332392</c:v>
                </c:pt>
                <c:pt idx="91">
                  <c:v>29.556230302768789</c:v>
                </c:pt>
                <c:pt idx="92">
                  <c:v>31.461088541623983</c:v>
                </c:pt>
                <c:pt idx="93">
                  <c:v>32.971749021478431</c:v>
                </c:pt>
                <c:pt idx="94">
                  <c:v>43.432776292947139</c:v>
                </c:pt>
                <c:pt idx="95">
                  <c:v>48.002464053152949</c:v>
                </c:pt>
                <c:pt idx="96">
                  <c:v>47.238351665643691</c:v>
                </c:pt>
                <c:pt idx="97">
                  <c:v>48.78598970884785</c:v>
                </c:pt>
                <c:pt idx="98">
                  <c:v>47.207741434067039</c:v>
                </c:pt>
                <c:pt idx="99">
                  <c:v>49.003371985497203</c:v>
                </c:pt>
                <c:pt idx="100">
                  <c:v>51.508536407814056</c:v>
                </c:pt>
                <c:pt idx="101">
                  <c:v>53.382393478014514</c:v>
                </c:pt>
                <c:pt idx="102">
                  <c:v>52.117202936231607</c:v>
                </c:pt>
                <c:pt idx="103">
                  <c:v>58.07782054009796</c:v>
                </c:pt>
                <c:pt idx="104">
                  <c:v>59.66978392720452</c:v>
                </c:pt>
                <c:pt idx="105">
                  <c:v>59.083913449262482</c:v>
                </c:pt>
                <c:pt idx="106">
                  <c:v>59.711098442793165</c:v>
                </c:pt>
                <c:pt idx="107">
                  <c:v>53.91696968173256</c:v>
                </c:pt>
                <c:pt idx="108">
                  <c:v>49.044498459617159</c:v>
                </c:pt>
                <c:pt idx="109">
                  <c:v>47.700495385390326</c:v>
                </c:pt>
                <c:pt idx="110">
                  <c:v>47.890093448103279</c:v>
                </c:pt>
                <c:pt idx="111">
                  <c:v>44.165520856176357</c:v>
                </c:pt>
                <c:pt idx="112">
                  <c:v>47.319839500460994</c:v>
                </c:pt>
                <c:pt idx="113">
                  <c:v>43.264557687131614</c:v>
                </c:pt>
                <c:pt idx="114">
                  <c:v>40.112192389322637</c:v>
                </c:pt>
                <c:pt idx="115">
                  <c:v>42.232988963901605</c:v>
                </c:pt>
                <c:pt idx="116">
                  <c:v>45.11411494619675</c:v>
                </c:pt>
                <c:pt idx="117">
                  <c:v>49.637057844322008</c:v>
                </c:pt>
                <c:pt idx="118">
                  <c:v>51.615914991754664</c:v>
                </c:pt>
                <c:pt idx="119">
                  <c:v>53.171407098062964</c:v>
                </c:pt>
                <c:pt idx="120">
                  <c:v>52.720979457574977</c:v>
                </c:pt>
                <c:pt idx="121">
                  <c:v>57.041180322862886</c:v>
                </c:pt>
                <c:pt idx="122">
                  <c:v>59.577053871527085</c:v>
                </c:pt>
                <c:pt idx="123">
                  <c:v>56.224175535174012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69-4C5B-9996-11DCE3006A28}"/>
            </c:ext>
          </c:extLst>
        </c:ser>
        <c:ser>
          <c:idx val="3"/>
          <c:order val="3"/>
          <c:tx>
            <c:strRef>
              <c:f>'Sem ajuste calibração'!$U$1</c:f>
              <c:strCache>
                <c:ptCount val="1"/>
                <c:pt idx="0">
                  <c:v>UTS_10h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calibração'!$A$2:$A$998</c:f>
              <c:numCache>
                <c:formatCode>m/d/yyyy\ h:mm</c:formatCode>
                <c:ptCount val="997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calibração'!$U$2:$U$998</c:f>
              <c:numCache>
                <c:formatCode>General</c:formatCode>
                <c:ptCount val="997"/>
                <c:pt idx="9">
                  <c:v>31.231305928420177</c:v>
                </c:pt>
                <c:pt idx="10">
                  <c:v>35.697004877490201</c:v>
                </c:pt>
                <c:pt idx="11">
                  <c:v>37.997864152464203</c:v>
                </c:pt>
                <c:pt idx="12">
                  <c:v>43.716415890087212</c:v>
                </c:pt>
                <c:pt idx="13">
                  <c:v>45.036970641284604</c:v>
                </c:pt>
                <c:pt idx="14">
                  <c:v>49.324956062835163</c:v>
                </c:pt>
                <c:pt idx="15">
                  <c:v>44.385104043389248</c:v>
                </c:pt>
                <c:pt idx="16">
                  <c:v>40.882846126135959</c:v>
                </c:pt>
                <c:pt idx="17">
                  <c:v>38.826499297233838</c:v>
                </c:pt>
                <c:pt idx="18">
                  <c:v>37.211226009187001</c:v>
                </c:pt>
                <c:pt idx="19">
                  <c:v>44.487303188358489</c:v>
                </c:pt>
                <c:pt idx="20">
                  <c:v>41.914115643102413</c:v>
                </c:pt>
                <c:pt idx="21">
                  <c:v>42.476003191831801</c:v>
                </c:pt>
                <c:pt idx="22">
                  <c:v>41.055337766401259</c:v>
                </c:pt>
                <c:pt idx="23">
                  <c:v>38.456729310316213</c:v>
                </c:pt>
                <c:pt idx="24">
                  <c:v>37.392057553439216</c:v>
                </c:pt>
                <c:pt idx="25">
                  <c:v>40.645624236653418</c:v>
                </c:pt>
                <c:pt idx="26">
                  <c:v>45.529117032702899</c:v>
                </c:pt>
                <c:pt idx="27">
                  <c:v>48.554247991850644</c:v>
                </c:pt>
                <c:pt idx="28">
                  <c:v>48.508660585129547</c:v>
                </c:pt>
                <c:pt idx="29">
                  <c:v>34.64322194592603</c:v>
                </c:pt>
                <c:pt idx="30">
                  <c:v>36.736937057057638</c:v>
                </c:pt>
                <c:pt idx="31">
                  <c:v>42.525325606376832</c:v>
                </c:pt>
                <c:pt idx="32">
                  <c:v>45.34093067005147</c:v>
                </c:pt>
                <c:pt idx="33">
                  <c:v>46.759705061238932</c:v>
                </c:pt>
                <c:pt idx="34">
                  <c:v>44.67795311680274</c:v>
                </c:pt>
                <c:pt idx="35">
                  <c:v>47.57100621721672</c:v>
                </c:pt>
                <c:pt idx="36">
                  <c:v>42.655150069867197</c:v>
                </c:pt>
                <c:pt idx="37">
                  <c:v>41.80335762598466</c:v>
                </c:pt>
                <c:pt idx="38">
                  <c:v>43.814289144772836</c:v>
                </c:pt>
                <c:pt idx="39">
                  <c:v>44.280329136494771</c:v>
                </c:pt>
                <c:pt idx="40">
                  <c:v>43.98696866590236</c:v>
                </c:pt>
                <c:pt idx="41">
                  <c:v>43.948202060274738</c:v>
                </c:pt>
                <c:pt idx="42">
                  <c:v>44.794443116605308</c:v>
                </c:pt>
                <c:pt idx="43">
                  <c:v>45.610444468867676</c:v>
                </c:pt>
                <c:pt idx="44">
                  <c:v>50.813350942611692</c:v>
                </c:pt>
                <c:pt idx="45">
                  <c:v>46.272469610543801</c:v>
                </c:pt>
                <c:pt idx="46">
                  <c:v>45.890116167753746</c:v>
                </c:pt>
                <c:pt idx="47">
                  <c:v>37.325022345636121</c:v>
                </c:pt>
                <c:pt idx="48">
                  <c:v>41.04821128458763</c:v>
                </c:pt>
                <c:pt idx="49">
                  <c:v>38.696908497560763</c:v>
                </c:pt>
                <c:pt idx="50">
                  <c:v>38.410620238361609</c:v>
                </c:pt>
                <c:pt idx="51">
                  <c:v>40.797298084467542</c:v>
                </c:pt>
                <c:pt idx="52">
                  <c:v>39.73095189022056</c:v>
                </c:pt>
                <c:pt idx="53">
                  <c:v>42.742649218620834</c:v>
                </c:pt>
                <c:pt idx="54">
                  <c:v>41.04837286251167</c:v>
                </c:pt>
                <c:pt idx="55">
                  <c:v>41.420875776716542</c:v>
                </c:pt>
                <c:pt idx="56">
                  <c:v>42.904440088718424</c:v>
                </c:pt>
                <c:pt idx="57">
                  <c:v>43.763112789700507</c:v>
                </c:pt>
                <c:pt idx="58">
                  <c:v>42.285226760495142</c:v>
                </c:pt>
                <c:pt idx="59">
                  <c:v>42.755318808278439</c:v>
                </c:pt>
                <c:pt idx="60">
                  <c:v>44.638188596984904</c:v>
                </c:pt>
                <c:pt idx="61">
                  <c:v>45.695914469205718</c:v>
                </c:pt>
                <c:pt idx="62">
                  <c:v>49.907698488035152</c:v>
                </c:pt>
                <c:pt idx="63">
                  <c:v>49.267718252513909</c:v>
                </c:pt>
                <c:pt idx="64">
                  <c:v>50.709754404451303</c:v>
                </c:pt>
                <c:pt idx="65">
                  <c:v>45.484210293929202</c:v>
                </c:pt>
                <c:pt idx="66">
                  <c:v>36.20605423479752</c:v>
                </c:pt>
                <c:pt idx="67">
                  <c:v>33.640286053566648</c:v>
                </c:pt>
                <c:pt idx="68">
                  <c:v>34.520054813878858</c:v>
                </c:pt>
                <c:pt idx="69">
                  <c:v>34.98568507815655</c:v>
                </c:pt>
                <c:pt idx="70">
                  <c:v>36.39641770189337</c:v>
                </c:pt>
                <c:pt idx="71">
                  <c:v>37.935065740167168</c:v>
                </c:pt>
                <c:pt idx="72">
                  <c:v>38.660345453557234</c:v>
                </c:pt>
                <c:pt idx="73">
                  <c:v>39.03193506457707</c:v>
                </c:pt>
                <c:pt idx="74">
                  <c:v>38.753137792409795</c:v>
                </c:pt>
                <c:pt idx="75">
                  <c:v>41.594175304988617</c:v>
                </c:pt>
                <c:pt idx="76">
                  <c:v>55.148828964697572</c:v>
                </c:pt>
                <c:pt idx="77">
                  <c:v>56.940821669780561</c:v>
                </c:pt>
                <c:pt idx="78">
                  <c:v>57.136835910139951</c:v>
                </c:pt>
                <c:pt idx="79">
                  <c:v>53.158387639938923</c:v>
                </c:pt>
                <c:pt idx="80">
                  <c:v>47.754466040700798</c:v>
                </c:pt>
                <c:pt idx="81">
                  <c:v>39.166636293304791</c:v>
                </c:pt>
                <c:pt idx="82">
                  <c:v>37.46363512363731</c:v>
                </c:pt>
                <c:pt idx="83">
                  <c:v>39.82671890203283</c:v>
                </c:pt>
                <c:pt idx="84">
                  <c:v>38.773836335634201</c:v>
                </c:pt>
                <c:pt idx="85">
                  <c:v>37.399844640481362</c:v>
                </c:pt>
                <c:pt idx="86">
                  <c:v>30.65305225355668</c:v>
                </c:pt>
                <c:pt idx="87">
                  <c:v>28.586747803027318</c:v>
                </c:pt>
                <c:pt idx="88">
                  <c:v>27.343648250119763</c:v>
                </c:pt>
                <c:pt idx="89">
                  <c:v>27.37598598725539</c:v>
                </c:pt>
                <c:pt idx="90">
                  <c:v>29.043037758643248</c:v>
                </c:pt>
                <c:pt idx="91">
                  <c:v>32.769654773516457</c:v>
                </c:pt>
                <c:pt idx="92">
                  <c:v>33.814287644119936</c:v>
                </c:pt>
                <c:pt idx="93">
                  <c:v>32.315553240223387</c:v>
                </c:pt>
                <c:pt idx="94">
                  <c:v>35.936930738893793</c:v>
                </c:pt>
                <c:pt idx="95">
                  <c:v>37.60201287367007</c:v>
                </c:pt>
                <c:pt idx="96">
                  <c:v>40.933651831499802</c:v>
                </c:pt>
                <c:pt idx="97">
                  <c:v>45.676310345395585</c:v>
                </c:pt>
                <c:pt idx="98">
                  <c:v>47.553777074575223</c:v>
                </c:pt>
                <c:pt idx="99">
                  <c:v>48.940731624882609</c:v>
                </c:pt>
                <c:pt idx="100">
                  <c:v>51.95842867209651</c:v>
                </c:pt>
                <c:pt idx="101">
                  <c:v>52.91366223180426</c:v>
                </c:pt>
                <c:pt idx="102">
                  <c:v>52.598872779556814</c:v>
                </c:pt>
                <c:pt idx="103">
                  <c:v>58.600567197976261</c:v>
                </c:pt>
                <c:pt idx="104">
                  <c:v>55.645860154679369</c:v>
                </c:pt>
                <c:pt idx="105">
                  <c:v>56.290351332924381</c:v>
                </c:pt>
                <c:pt idx="106">
                  <c:v>57.171142741048456</c:v>
                </c:pt>
                <c:pt idx="107">
                  <c:v>53.442927720325883</c:v>
                </c:pt>
                <c:pt idx="108">
                  <c:v>53.007582842934276</c:v>
                </c:pt>
                <c:pt idx="109">
                  <c:v>49.298375768487318</c:v>
                </c:pt>
                <c:pt idx="110">
                  <c:v>47.389068798887031</c:v>
                </c:pt>
                <c:pt idx="111">
                  <c:v>47.953963910612131</c:v>
                </c:pt>
                <c:pt idx="112">
                  <c:v>50.156015175559112</c:v>
                </c:pt>
                <c:pt idx="113">
                  <c:v>44.23470088614306</c:v>
                </c:pt>
                <c:pt idx="114">
                  <c:v>41.358157633547435</c:v>
                </c:pt>
                <c:pt idx="115">
                  <c:v>41.634095076365909</c:v>
                </c:pt>
                <c:pt idx="116">
                  <c:v>43.430491817978876</c:v>
                </c:pt>
                <c:pt idx="117">
                  <c:v>46.558712410922347</c:v>
                </c:pt>
                <c:pt idx="118">
                  <c:v>49.483491348178291</c:v>
                </c:pt>
                <c:pt idx="119">
                  <c:v>53.064933220928488</c:v>
                </c:pt>
                <c:pt idx="120">
                  <c:v>54.612770389664234</c:v>
                </c:pt>
                <c:pt idx="121">
                  <c:v>53.695627250468128</c:v>
                </c:pt>
                <c:pt idx="122">
                  <c:v>52.0274361217093</c:v>
                </c:pt>
                <c:pt idx="123">
                  <c:v>54.012943309947545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69-4C5B-9996-11DCE3006A28}"/>
            </c:ext>
          </c:extLst>
        </c:ser>
        <c:ser>
          <c:idx val="4"/>
          <c:order val="4"/>
          <c:tx>
            <c:strRef>
              <c:f>'Sem ajuste calibração'!$Y$1</c:f>
              <c:strCache>
                <c:ptCount val="1"/>
                <c:pt idx="0">
                  <c:v>UTS_12h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calibração'!$A$2:$A$998</c:f>
              <c:numCache>
                <c:formatCode>m/d/yyyy\ h:mm</c:formatCode>
                <c:ptCount val="997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calibração'!$Y$2:$Y$998</c:f>
              <c:numCache>
                <c:formatCode>General</c:formatCode>
                <c:ptCount val="997"/>
                <c:pt idx="11">
                  <c:v>33.832639599367432</c:v>
                </c:pt>
                <c:pt idx="12">
                  <c:v>36.86017427391166</c:v>
                </c:pt>
                <c:pt idx="13">
                  <c:v>40.133849330863761</c:v>
                </c:pt>
                <c:pt idx="14">
                  <c:v>43.080147678709352</c:v>
                </c:pt>
                <c:pt idx="15">
                  <c:v>40.436969077615323</c:v>
                </c:pt>
                <c:pt idx="16">
                  <c:v>43.138130220325522</c:v>
                </c:pt>
                <c:pt idx="17">
                  <c:v>43.065036490160352</c:v>
                </c:pt>
                <c:pt idx="18">
                  <c:v>40.874632001971598</c:v>
                </c:pt>
                <c:pt idx="19">
                  <c:v>41.165662328255223</c:v>
                </c:pt>
                <c:pt idx="20">
                  <c:v>40.283612629138581</c:v>
                </c:pt>
                <c:pt idx="21">
                  <c:v>43.592606027838052</c:v>
                </c:pt>
                <c:pt idx="22">
                  <c:v>42.289719335496549</c:v>
                </c:pt>
                <c:pt idx="23">
                  <c:v>43.203179611812544</c:v>
                </c:pt>
                <c:pt idx="24">
                  <c:v>41.477568925524359</c:v>
                </c:pt>
                <c:pt idx="25">
                  <c:v>40.262694968059449</c:v>
                </c:pt>
                <c:pt idx="26">
                  <c:v>40.822635525251208</c:v>
                </c:pt>
                <c:pt idx="27">
                  <c:v>44.234067056412307</c:v>
                </c:pt>
                <c:pt idx="28">
                  <c:v>44.409590231634908</c:v>
                </c:pt>
                <c:pt idx="29">
                  <c:v>34.549405192999252</c:v>
                </c:pt>
                <c:pt idx="30">
                  <c:v>37.465208170882619</c:v>
                </c:pt>
                <c:pt idx="31">
                  <c:v>40.106797357915895</c:v>
                </c:pt>
                <c:pt idx="32">
                  <c:v>43.896062847990144</c:v>
                </c:pt>
                <c:pt idx="33">
                  <c:v>45.860155488624599</c:v>
                </c:pt>
                <c:pt idx="34">
                  <c:v>43.816615596774838</c:v>
                </c:pt>
                <c:pt idx="35">
                  <c:v>47.579017343536016</c:v>
                </c:pt>
                <c:pt idx="36">
                  <c:v>45.330431634284167</c:v>
                </c:pt>
                <c:pt idx="37">
                  <c:v>45.421183911939671</c:v>
                </c:pt>
                <c:pt idx="38">
                  <c:v>45.642788176816552</c:v>
                </c:pt>
                <c:pt idx="39">
                  <c:v>43.810361119735433</c:v>
                </c:pt>
                <c:pt idx="40">
                  <c:v>43.642883262676342</c:v>
                </c:pt>
                <c:pt idx="41">
                  <c:v>45.83482839425514</c:v>
                </c:pt>
                <c:pt idx="42">
                  <c:v>46.105583371403242</c:v>
                </c:pt>
                <c:pt idx="43">
                  <c:v>44.339160511479669</c:v>
                </c:pt>
                <c:pt idx="44">
                  <c:v>46.094171779584919</c:v>
                </c:pt>
                <c:pt idx="45">
                  <c:v>45.542403083754188</c:v>
                </c:pt>
                <c:pt idx="46">
                  <c:v>44.313875799910527</c:v>
                </c:pt>
                <c:pt idx="47">
                  <c:v>34.70952066742452</c:v>
                </c:pt>
                <c:pt idx="48">
                  <c:v>42.400154230738352</c:v>
                </c:pt>
                <c:pt idx="49">
                  <c:v>39.201623073750028</c:v>
                </c:pt>
                <c:pt idx="50">
                  <c:v>37.76114681462294</c:v>
                </c:pt>
                <c:pt idx="51">
                  <c:v>41.875161895934724</c:v>
                </c:pt>
                <c:pt idx="52">
                  <c:v>41.75567112298085</c:v>
                </c:pt>
                <c:pt idx="53">
                  <c:v>42.906756821161082</c:v>
                </c:pt>
                <c:pt idx="54">
                  <c:v>42.251161624219932</c:v>
                </c:pt>
                <c:pt idx="55">
                  <c:v>43.699585343418327</c:v>
                </c:pt>
                <c:pt idx="56">
                  <c:v>43.038773415702757</c:v>
                </c:pt>
                <c:pt idx="57">
                  <c:v>43.90168746970344</c:v>
                </c:pt>
                <c:pt idx="58">
                  <c:v>43.813648473581878</c:v>
                </c:pt>
                <c:pt idx="59">
                  <c:v>44.311929206320549</c:v>
                </c:pt>
                <c:pt idx="60">
                  <c:v>43.062559314846368</c:v>
                </c:pt>
                <c:pt idx="61">
                  <c:v>42.971109148185334</c:v>
                </c:pt>
                <c:pt idx="62">
                  <c:v>44.889866909241412</c:v>
                </c:pt>
                <c:pt idx="63">
                  <c:v>45.741496793431104</c:v>
                </c:pt>
                <c:pt idx="64">
                  <c:v>51.076669576602065</c:v>
                </c:pt>
                <c:pt idx="65">
                  <c:v>45.967698197028248</c:v>
                </c:pt>
                <c:pt idx="66">
                  <c:v>38.33187865087335</c:v>
                </c:pt>
                <c:pt idx="67">
                  <c:v>36.27740229025985</c:v>
                </c:pt>
                <c:pt idx="68">
                  <c:v>35.425139844211543</c:v>
                </c:pt>
                <c:pt idx="69">
                  <c:v>36.023443718886874</c:v>
                </c:pt>
                <c:pt idx="70">
                  <c:v>38.478707061526215</c:v>
                </c:pt>
                <c:pt idx="71">
                  <c:v>39.25487037738533</c:v>
                </c:pt>
                <c:pt idx="72">
                  <c:v>40.046112689376926</c:v>
                </c:pt>
                <c:pt idx="73">
                  <c:v>39.56456963539096</c:v>
                </c:pt>
                <c:pt idx="74">
                  <c:v>40.099669739188691</c:v>
                </c:pt>
                <c:pt idx="75">
                  <c:v>41.083147111786239</c:v>
                </c:pt>
                <c:pt idx="76">
                  <c:v>42.885284552130358</c:v>
                </c:pt>
                <c:pt idx="77">
                  <c:v>44.897700703791863</c:v>
                </c:pt>
                <c:pt idx="78">
                  <c:v>53.270841769471346</c:v>
                </c:pt>
                <c:pt idx="79">
                  <c:v>55.508484298885641</c:v>
                </c:pt>
                <c:pt idx="80">
                  <c:v>51.829052055561235</c:v>
                </c:pt>
                <c:pt idx="81">
                  <c:v>42.307732713065235</c:v>
                </c:pt>
                <c:pt idx="82">
                  <c:v>39.761812696472035</c:v>
                </c:pt>
                <c:pt idx="83">
                  <c:v>40.0342884918187</c:v>
                </c:pt>
                <c:pt idx="84">
                  <c:v>39.148453377540569</c:v>
                </c:pt>
                <c:pt idx="85">
                  <c:v>39.160932291333602</c:v>
                </c:pt>
                <c:pt idx="86">
                  <c:v>34.561167098748939</c:v>
                </c:pt>
                <c:pt idx="87">
                  <c:v>31.940927137729219</c:v>
                </c:pt>
                <c:pt idx="88">
                  <c:v>29.386234402502946</c:v>
                </c:pt>
                <c:pt idx="89">
                  <c:v>29.723835051660952</c:v>
                </c:pt>
                <c:pt idx="90">
                  <c:v>29.984643115921589</c:v>
                </c:pt>
                <c:pt idx="91">
                  <c:v>29.488804123127547</c:v>
                </c:pt>
                <c:pt idx="92">
                  <c:v>31.243108224861686</c:v>
                </c:pt>
                <c:pt idx="93">
                  <c:v>34.808997991800076</c:v>
                </c:pt>
                <c:pt idx="94">
                  <c:v>37.727361921225707</c:v>
                </c:pt>
                <c:pt idx="95">
                  <c:v>36.378585465251319</c:v>
                </c:pt>
                <c:pt idx="96">
                  <c:v>35.039081079862513</c:v>
                </c:pt>
                <c:pt idx="97">
                  <c:v>37.379999056095642</c:v>
                </c:pt>
                <c:pt idx="98">
                  <c:v>42.211143754682418</c:v>
                </c:pt>
                <c:pt idx="99">
                  <c:v>46.295100319934761</c:v>
                </c:pt>
                <c:pt idx="100">
                  <c:v>51.59976068851757</c:v>
                </c:pt>
                <c:pt idx="101">
                  <c:v>52.652419956568039</c:v>
                </c:pt>
                <c:pt idx="102">
                  <c:v>53.2255891646316</c:v>
                </c:pt>
                <c:pt idx="103">
                  <c:v>57.519997559478064</c:v>
                </c:pt>
                <c:pt idx="104">
                  <c:v>55.594077092572647</c:v>
                </c:pt>
                <c:pt idx="105">
                  <c:v>56.926967312554702</c:v>
                </c:pt>
                <c:pt idx="106">
                  <c:v>54.222233682568863</c:v>
                </c:pt>
                <c:pt idx="107">
                  <c:v>52.019304642525164</c:v>
                </c:pt>
                <c:pt idx="108">
                  <c:v>52.004605701370188</c:v>
                </c:pt>
                <c:pt idx="109">
                  <c:v>49.559326520626477</c:v>
                </c:pt>
                <c:pt idx="110">
                  <c:v>50.677511325989897</c:v>
                </c:pt>
                <c:pt idx="111">
                  <c:v>49.105308136356754</c:v>
                </c:pt>
                <c:pt idx="112">
                  <c:v>49.25679987467592</c:v>
                </c:pt>
                <c:pt idx="113">
                  <c:v>47.39122379199754</c:v>
                </c:pt>
                <c:pt idx="114">
                  <c:v>43.775196780574348</c:v>
                </c:pt>
                <c:pt idx="115">
                  <c:v>42.309144385536129</c:v>
                </c:pt>
                <c:pt idx="116">
                  <c:v>44.223452136235444</c:v>
                </c:pt>
                <c:pt idx="117">
                  <c:v>45.517884430727428</c:v>
                </c:pt>
                <c:pt idx="118">
                  <c:v>47.261459247401227</c:v>
                </c:pt>
                <c:pt idx="119">
                  <c:v>49.65364532780859</c:v>
                </c:pt>
                <c:pt idx="120">
                  <c:v>52.217299372136694</c:v>
                </c:pt>
                <c:pt idx="121">
                  <c:v>53.564397279563138</c:v>
                </c:pt>
                <c:pt idx="122">
                  <c:v>53.748577890338069</c:v>
                </c:pt>
                <c:pt idx="123">
                  <c:v>52.020390138110429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69-4C5B-9996-11DCE3006A28}"/>
            </c:ext>
          </c:extLst>
        </c:ser>
        <c:ser>
          <c:idx val="5"/>
          <c:order val="5"/>
          <c:tx>
            <c:strRef>
              <c:f>'Sem ajuste calibração'!$AC$1</c:f>
              <c:strCache>
                <c:ptCount val="1"/>
                <c:pt idx="0">
                  <c:v>UTS_24h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calibração'!$A$2:$A$998</c:f>
              <c:numCache>
                <c:formatCode>m/d/yyyy\ h:mm</c:formatCode>
                <c:ptCount val="997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calibração'!$AC$2:$AC$998</c:f>
              <c:numCache>
                <c:formatCode>General</c:formatCode>
                <c:ptCount val="997"/>
                <c:pt idx="23">
                  <c:v>38.219663463447027</c:v>
                </c:pt>
                <c:pt idx="24">
                  <c:v>39.763791497109665</c:v>
                </c:pt>
                <c:pt idx="25">
                  <c:v>41.7725981002271</c:v>
                </c:pt>
                <c:pt idx="26">
                  <c:v>44.853309895663998</c:v>
                </c:pt>
                <c:pt idx="27">
                  <c:v>45.385974961545962</c:v>
                </c:pt>
                <c:pt idx="28">
                  <c:v>44.97499372938438</c:v>
                </c:pt>
                <c:pt idx="29">
                  <c:v>34.175541239947229</c:v>
                </c:pt>
                <c:pt idx="30">
                  <c:v>34.892099500852133</c:v>
                </c:pt>
                <c:pt idx="31">
                  <c:v>37.379332792803083</c:v>
                </c:pt>
                <c:pt idx="32">
                  <c:v>39.984767444155125</c:v>
                </c:pt>
                <c:pt idx="33">
                  <c:v>43.299095370295561</c:v>
                </c:pt>
                <c:pt idx="34">
                  <c:v>41.982442502497207</c:v>
                </c:pt>
                <c:pt idx="35">
                  <c:v>44.518923887848459</c:v>
                </c:pt>
                <c:pt idx="36">
                  <c:v>42.831651452499457</c:v>
                </c:pt>
                <c:pt idx="37">
                  <c:v>42.284947874311172</c:v>
                </c:pt>
                <c:pt idx="38">
                  <c:v>42.74270488382998</c:v>
                </c:pt>
                <c:pt idx="39">
                  <c:v>43.735916181608189</c:v>
                </c:pt>
                <c:pt idx="40">
                  <c:v>44.963733820178547</c:v>
                </c:pt>
                <c:pt idx="41">
                  <c:v>46.304059651289492</c:v>
                </c:pt>
                <c:pt idx="42">
                  <c:v>47.612718689938021</c:v>
                </c:pt>
                <c:pt idx="43">
                  <c:v>46.487492954484722</c:v>
                </c:pt>
                <c:pt idx="44">
                  <c:v>47.702940993300416</c:v>
                </c:pt>
                <c:pt idx="45">
                  <c:v>46.291623345857161</c:v>
                </c:pt>
                <c:pt idx="46">
                  <c:v>42.776477702214784</c:v>
                </c:pt>
                <c:pt idx="47">
                  <c:v>35.085799899547268</c:v>
                </c:pt>
                <c:pt idx="48">
                  <c:v>40.105632038534175</c:v>
                </c:pt>
                <c:pt idx="49">
                  <c:v>36.822647170361989</c:v>
                </c:pt>
                <c:pt idx="50">
                  <c:v>37.088801773772282</c:v>
                </c:pt>
                <c:pt idx="51">
                  <c:v>40.295307346946089</c:v>
                </c:pt>
                <c:pt idx="52">
                  <c:v>41.54680741133987</c:v>
                </c:pt>
                <c:pt idx="53">
                  <c:v>43.957258875293149</c:v>
                </c:pt>
                <c:pt idx="54">
                  <c:v>43.38116877183888</c:v>
                </c:pt>
                <c:pt idx="55">
                  <c:v>43.442421672015172</c:v>
                </c:pt>
                <c:pt idx="56">
                  <c:v>43.675263516592075</c:v>
                </c:pt>
                <c:pt idx="57">
                  <c:v>45.122959595823616</c:v>
                </c:pt>
                <c:pt idx="58">
                  <c:v>46.216493635564149</c:v>
                </c:pt>
                <c:pt idx="59">
                  <c:v>45.582371284375775</c:v>
                </c:pt>
                <c:pt idx="60">
                  <c:v>46.10386154674368</c:v>
                </c:pt>
                <c:pt idx="61">
                  <c:v>46.366786750688519</c:v>
                </c:pt>
                <c:pt idx="62">
                  <c:v>45.017624477830424</c:v>
                </c:pt>
                <c:pt idx="63">
                  <c:v>46.11103005657489</c:v>
                </c:pt>
                <c:pt idx="64">
                  <c:v>47.026225877789365</c:v>
                </c:pt>
                <c:pt idx="65">
                  <c:v>43.780615910898092</c:v>
                </c:pt>
                <c:pt idx="66">
                  <c:v>39.52865771018292</c:v>
                </c:pt>
                <c:pt idx="67">
                  <c:v>38.413837006065961</c:v>
                </c:pt>
                <c:pt idx="68">
                  <c:v>37.77642787814564</c:v>
                </c:pt>
                <c:pt idx="69">
                  <c:v>38.013378450205273</c:v>
                </c:pt>
                <c:pt idx="70">
                  <c:v>39.463177499389559</c:v>
                </c:pt>
                <c:pt idx="71">
                  <c:v>40.613420030651532</c:v>
                </c:pt>
                <c:pt idx="72">
                  <c:v>41.334911544409294</c:v>
                </c:pt>
                <c:pt idx="73">
                  <c:v>41.293079803127441</c:v>
                </c:pt>
                <c:pt idx="74">
                  <c:v>43.069239030220331</c:v>
                </c:pt>
                <c:pt idx="75">
                  <c:v>43.498441822163393</c:v>
                </c:pt>
                <c:pt idx="76">
                  <c:v>46.964100569676361</c:v>
                </c:pt>
                <c:pt idx="77">
                  <c:v>46.518898175580446</c:v>
                </c:pt>
                <c:pt idx="78">
                  <c:v>46.472861814333434</c:v>
                </c:pt>
                <c:pt idx="79">
                  <c:v>46.527174234248811</c:v>
                </c:pt>
                <c:pt idx="80">
                  <c:v>44.478641334597327</c:v>
                </c:pt>
                <c:pt idx="81">
                  <c:v>41.194446794788519</c:v>
                </c:pt>
                <c:pt idx="82">
                  <c:v>40.318213639236909</c:v>
                </c:pt>
                <c:pt idx="83">
                  <c:v>40.500319821678822</c:v>
                </c:pt>
                <c:pt idx="84">
                  <c:v>40.235746990592212</c:v>
                </c:pt>
                <c:pt idx="85">
                  <c:v>40.268279300732779</c:v>
                </c:pt>
                <c:pt idx="86">
                  <c:v>37.720540020883661</c:v>
                </c:pt>
                <c:pt idx="87">
                  <c:v>36.348367531442321</c:v>
                </c:pt>
                <c:pt idx="88">
                  <c:v>35.20791699996991</c:v>
                </c:pt>
                <c:pt idx="89">
                  <c:v>36.174184845485556</c:v>
                </c:pt>
                <c:pt idx="90">
                  <c:v>39.05711027044795</c:v>
                </c:pt>
                <c:pt idx="91">
                  <c:v>38.994476519751942</c:v>
                </c:pt>
                <c:pt idx="92">
                  <c:v>39.346512661968951</c:v>
                </c:pt>
                <c:pt idx="93">
                  <c:v>38.215441517518002</c:v>
                </c:pt>
                <c:pt idx="94">
                  <c:v>40.159028081901049</c:v>
                </c:pt>
                <c:pt idx="95">
                  <c:v>39.390083829755</c:v>
                </c:pt>
                <c:pt idx="96">
                  <c:v>37.153297446258371</c:v>
                </c:pt>
                <c:pt idx="97">
                  <c:v>38.076093798645552</c:v>
                </c:pt>
                <c:pt idx="98">
                  <c:v>37.917033019635191</c:v>
                </c:pt>
                <c:pt idx="99">
                  <c:v>38.075720438512676</c:v>
                </c:pt>
                <c:pt idx="100">
                  <c:v>38.454433599054447</c:v>
                </c:pt>
                <c:pt idx="101">
                  <c:v>39.5550953270292</c:v>
                </c:pt>
                <c:pt idx="102">
                  <c:v>40.120829214531099</c:v>
                </c:pt>
                <c:pt idx="103">
                  <c:v>41.59433546046813</c:v>
                </c:pt>
                <c:pt idx="104">
                  <c:v>42.401284305678189</c:v>
                </c:pt>
                <c:pt idx="105">
                  <c:v>45.43052499851067</c:v>
                </c:pt>
                <c:pt idx="106">
                  <c:v>45.051944757733857</c:v>
                </c:pt>
                <c:pt idx="107">
                  <c:v>43.115078251331276</c:v>
                </c:pt>
                <c:pt idx="108">
                  <c:v>43.086686224551677</c:v>
                </c:pt>
                <c:pt idx="109">
                  <c:v>43.407352010587381</c:v>
                </c:pt>
                <c:pt idx="110">
                  <c:v>46.607344273715768</c:v>
                </c:pt>
                <c:pt idx="111">
                  <c:v>47.95930571565134</c:v>
                </c:pt>
                <c:pt idx="112">
                  <c:v>50.319963286001865</c:v>
                </c:pt>
                <c:pt idx="113">
                  <c:v>49.046626451466381</c:v>
                </c:pt>
                <c:pt idx="114">
                  <c:v>45.549327165577232</c:v>
                </c:pt>
                <c:pt idx="115">
                  <c:v>46.198518357140351</c:v>
                </c:pt>
                <c:pt idx="116">
                  <c:v>47.148758232167395</c:v>
                </c:pt>
                <c:pt idx="117">
                  <c:v>48.899185411532201</c:v>
                </c:pt>
                <c:pt idx="118">
                  <c:v>49.165402895018886</c:v>
                </c:pt>
                <c:pt idx="119">
                  <c:v>49.932624680383292</c:v>
                </c:pt>
                <c:pt idx="120">
                  <c:v>51.600233348989775</c:v>
                </c:pt>
                <c:pt idx="121">
                  <c:v>51.068617949819981</c:v>
                </c:pt>
                <c:pt idx="122">
                  <c:v>52.120328673627668</c:v>
                </c:pt>
                <c:pt idx="123">
                  <c:v>50.878795085630749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69-4C5B-9996-11DCE3006A28}"/>
            </c:ext>
          </c:extLst>
        </c:ser>
        <c:ser>
          <c:idx val="6"/>
          <c:order val="6"/>
          <c:tx>
            <c:strRef>
              <c:f>'Sem ajuste calibração'!$E$1</c:f>
              <c:strCache>
                <c:ptCount val="1"/>
                <c:pt idx="0">
                  <c:v>UTS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calibração'!$A$2:$A$125</c:f>
              <c:numCache>
                <c:formatCode>m/d/yyyy\ h:mm</c:formatCode>
                <c:ptCount val="124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calibração'!$E$2:$E$125</c:f>
              <c:numCache>
                <c:formatCode>General</c:formatCode>
                <c:ptCount val="124"/>
                <c:pt idx="0">
                  <c:v>20.38757189169413</c:v>
                </c:pt>
                <c:pt idx="1">
                  <c:v>19.190808706665923</c:v>
                </c:pt>
                <c:pt idx="2">
                  <c:v>18.00968283891229</c:v>
                </c:pt>
                <c:pt idx="3">
                  <c:v>39.267675228317621</c:v>
                </c:pt>
                <c:pt idx="4">
                  <c:v>20.103246877681922</c:v>
                </c:pt>
                <c:pt idx="5">
                  <c:v>50.261738986197301</c:v>
                </c:pt>
                <c:pt idx="6">
                  <c:v>93.319874832806647</c:v>
                </c:pt>
                <c:pt idx="7">
                  <c:v>102.1000323457788</c:v>
                </c:pt>
                <c:pt idx="8">
                  <c:v>63.639540719257411</c:v>
                </c:pt>
                <c:pt idx="9">
                  <c:v>17.042471447172868</c:v>
                </c:pt>
                <c:pt idx="10">
                  <c:v>119.92624647189949</c:v>
                </c:pt>
                <c:pt idx="11">
                  <c:v>31.09355458845361</c:v>
                </c:pt>
                <c:pt idx="12">
                  <c:v>105.369203771372</c:v>
                </c:pt>
                <c:pt idx="13">
                  <c:v>89.037579958218117</c:v>
                </c:pt>
                <c:pt idx="14">
                  <c:v>62.31840466290317</c:v>
                </c:pt>
                <c:pt idx="15">
                  <c:v>21.425946709404663</c:v>
                </c:pt>
                <c:pt idx="16">
                  <c:v>24.535731732833909</c:v>
                </c:pt>
                <c:pt idx="17">
                  <c:v>30.858929056778649</c:v>
                </c:pt>
                <c:pt idx="18">
                  <c:v>29.874376584953747</c:v>
                </c:pt>
                <c:pt idx="19">
                  <c:v>82.422541120616543</c:v>
                </c:pt>
                <c:pt idx="20">
                  <c:v>40.35351365165765</c:v>
                </c:pt>
                <c:pt idx="21">
                  <c:v>33.330891209856325</c:v>
                </c:pt>
                <c:pt idx="22">
                  <c:v>54.802499933398138</c:v>
                </c:pt>
                <c:pt idx="23">
                  <c:v>37.621684254061009</c:v>
                </c:pt>
                <c:pt idx="24">
                  <c:v>47.605601635534086</c:v>
                </c:pt>
                <c:pt idx="25">
                  <c:v>51.769494021569905</c:v>
                </c:pt>
                <c:pt idx="26">
                  <c:v>99.732988741765965</c:v>
                </c:pt>
                <c:pt idx="27">
                  <c:v>68.11732456521932</c:v>
                </c:pt>
                <c:pt idx="28">
                  <c:v>47.622375999587121</c:v>
                </c:pt>
                <c:pt idx="29">
                  <c:v>26.646613944203317</c:v>
                </c:pt>
                <c:pt idx="30">
                  <c:v>38.691103441620122</c:v>
                </c:pt>
                <c:pt idx="31">
                  <c:v>53.773021270596018</c:v>
                </c:pt>
                <c:pt idx="32">
                  <c:v>40.102049130107396</c:v>
                </c:pt>
                <c:pt idx="33">
                  <c:v>31.878095077910167</c:v>
                </c:pt>
                <c:pt idx="34">
                  <c:v>26.318936163765411</c:v>
                </c:pt>
                <c:pt idx="35">
                  <c:v>89.58971213934737</c:v>
                </c:pt>
                <c:pt idx="36">
                  <c:v>25.098667031829542</c:v>
                </c:pt>
                <c:pt idx="37">
                  <c:v>47.164171110028093</c:v>
                </c:pt>
                <c:pt idx="38">
                  <c:v>94.853093362394645</c:v>
                </c:pt>
                <c:pt idx="39">
                  <c:v>40.056722188439196</c:v>
                </c:pt>
                <c:pt idx="40">
                  <c:v>46.995975260484514</c:v>
                </c:pt>
                <c:pt idx="41">
                  <c:v>66.126576111221624</c:v>
                </c:pt>
                <c:pt idx="42">
                  <c:v>53.24922628964682</c:v>
                </c:pt>
                <c:pt idx="43">
                  <c:v>38.298203191473753</c:v>
                </c:pt>
                <c:pt idx="44">
                  <c:v>76.680760970274108</c:v>
                </c:pt>
                <c:pt idx="45">
                  <c:v>49.013339718263268</c:v>
                </c:pt>
                <c:pt idx="46">
                  <c:v>36.303743827671632</c:v>
                </c:pt>
                <c:pt idx="47">
                  <c:v>37.73071810740803</c:v>
                </c:pt>
                <c:pt idx="48">
                  <c:v>45.04172855574749</c:v>
                </c:pt>
                <c:pt idx="49">
                  <c:v>40.729100262875129</c:v>
                </c:pt>
                <c:pt idx="50">
                  <c:v>22.808407464029631</c:v>
                </c:pt>
                <c:pt idx="51">
                  <c:v>36.749670197446896</c:v>
                </c:pt>
                <c:pt idx="52">
                  <c:v>21.793700272063958</c:v>
                </c:pt>
                <c:pt idx="53">
                  <c:v>54.69144754067861</c:v>
                </c:pt>
                <c:pt idx="54">
                  <c:v>50.253402849639585</c:v>
                </c:pt>
                <c:pt idx="55">
                  <c:v>48.784243568763266</c:v>
                </c:pt>
                <c:pt idx="56">
                  <c:v>64.628688222806872</c:v>
                </c:pt>
                <c:pt idx="57">
                  <c:v>58.492058058849516</c:v>
                </c:pt>
                <c:pt idx="58">
                  <c:v>34.618030476943204</c:v>
                </c:pt>
                <c:pt idx="59">
                  <c:v>67.889747932154734</c:v>
                </c:pt>
                <c:pt idx="60">
                  <c:v>48.37325105446547</c:v>
                </c:pt>
                <c:pt idx="61">
                  <c:v>49.17880586959312</c:v>
                </c:pt>
                <c:pt idx="62">
                  <c:v>48.252708573547999</c:v>
                </c:pt>
                <c:pt idx="63">
                  <c:v>37.525217216015541</c:v>
                </c:pt>
                <c:pt idx="64">
                  <c:v>65.279347156869306</c:v>
                </c:pt>
                <c:pt idx="65">
                  <c:v>25.472467972736329</c:v>
                </c:pt>
                <c:pt idx="66">
                  <c:v>-26.551528586728502</c:v>
                </c:pt>
                <c:pt idx="67">
                  <c:v>30.46107346623657</c:v>
                </c:pt>
                <c:pt idx="68">
                  <c:v>43.34183841285202</c:v>
                </c:pt>
                <c:pt idx="69">
                  <c:v>113.3216292815233</c:v>
                </c:pt>
                <c:pt idx="70">
                  <c:v>59.770937619114704</c:v>
                </c:pt>
                <c:pt idx="71">
                  <c:v>63.460986700594709</c:v>
                </c:pt>
                <c:pt idx="72">
                  <c:v>47.133553368561046</c:v>
                </c:pt>
                <c:pt idx="73">
                  <c:v>35.341931693353104</c:v>
                </c:pt>
                <c:pt idx="74">
                  <c:v>47.633431794573113</c:v>
                </c:pt>
                <c:pt idx="75">
                  <c:v>50.4085542703288</c:v>
                </c:pt>
                <c:pt idx="76">
                  <c:v>230.948726984133</c:v>
                </c:pt>
                <c:pt idx="77">
                  <c:v>40.678742774959211</c:v>
                </c:pt>
                <c:pt idx="78">
                  <c:v>48.359209911009188</c:v>
                </c:pt>
                <c:pt idx="79">
                  <c:v>47.405266956987667</c:v>
                </c:pt>
                <c:pt idx="80">
                  <c:v>27.311536852761392</c:v>
                </c:pt>
                <c:pt idx="81">
                  <c:v>13.348862878051129</c:v>
                </c:pt>
                <c:pt idx="82">
                  <c:v>40.278045160382533</c:v>
                </c:pt>
                <c:pt idx="83">
                  <c:v>73.758615747659761</c:v>
                </c:pt>
                <c:pt idx="84">
                  <c:v>32.701409672144749</c:v>
                </c:pt>
                <c:pt idx="85">
                  <c:v>27.478485435385608</c:v>
                </c:pt>
                <c:pt idx="86">
                  <c:v>13.64902037453432</c:v>
                </c:pt>
                <c:pt idx="87">
                  <c:v>22.55346862498163</c:v>
                </c:pt>
                <c:pt idx="88">
                  <c:v>29.434909423999827</c:v>
                </c:pt>
                <c:pt idx="89">
                  <c:v>45.324306592136658</c:v>
                </c:pt>
                <c:pt idx="90">
                  <c:v>53.260363750149423</c:v>
                </c:pt>
                <c:pt idx="91">
                  <c:v>44.544345413307965</c:v>
                </c:pt>
                <c:pt idx="92">
                  <c:v>62.554458888271448</c:v>
                </c:pt>
                <c:pt idx="93">
                  <c:v>38.639124585535875</c:v>
                </c:pt>
                <c:pt idx="94">
                  <c:v>77.219352131619118</c:v>
                </c:pt>
                <c:pt idx="95">
                  <c:v>46.587470035919729</c:v>
                </c:pt>
                <c:pt idx="96">
                  <c:v>36.443523973620358</c:v>
                </c:pt>
                <c:pt idx="97">
                  <c:v>53.703161622387988</c:v>
                </c:pt>
                <c:pt idx="98">
                  <c:v>40.025543115233752</c:v>
                </c:pt>
                <c:pt idx="99">
                  <c:v>63.875833971234428</c:v>
                </c:pt>
                <c:pt idx="100">
                  <c:v>93.989879115291544</c:v>
                </c:pt>
                <c:pt idx="101">
                  <c:v>41.325530608696447</c:v>
                </c:pt>
                <c:pt idx="102">
                  <c:v>54.412613712164202</c:v>
                </c:pt>
                <c:pt idx="103">
                  <c:v>173.40289618977721</c:v>
                </c:pt>
                <c:pt idx="104">
                  <c:v>47.669749080623816</c:v>
                </c:pt>
                <c:pt idx="105">
                  <c:v>55.931768677742866</c:v>
                </c:pt>
                <c:pt idx="106">
                  <c:v>50.054085916856209</c:v>
                </c:pt>
                <c:pt idx="107">
                  <c:v>37.076759083943081</c:v>
                </c:pt>
                <c:pt idx="108">
                  <c:v>42.183986699061933</c:v>
                </c:pt>
                <c:pt idx="109">
                  <c:v>34.317135561014609</c:v>
                </c:pt>
                <c:pt idx="110">
                  <c:v>56.876985901113819</c:v>
                </c:pt>
                <c:pt idx="111">
                  <c:v>49.811266649598252</c:v>
                </c:pt>
                <c:pt idx="112">
                  <c:v>89.620223717633394</c:v>
                </c:pt>
                <c:pt idx="113">
                  <c:v>27.498371265534782</c:v>
                </c:pt>
                <c:pt idx="114">
                  <c:v>39.769704132881351</c:v>
                </c:pt>
                <c:pt idx="115">
                  <c:v>48.268417181590202</c:v>
                </c:pt>
                <c:pt idx="116">
                  <c:v>59.737458843265614</c:v>
                </c:pt>
                <c:pt idx="117">
                  <c:v>61.242131725045589</c:v>
                </c:pt>
                <c:pt idx="118">
                  <c:v>82.656272536185398</c:v>
                </c:pt>
                <c:pt idx="119">
                  <c:v>62.142967676837216</c:v>
                </c:pt>
                <c:pt idx="120">
                  <c:v>74.744962425263211</c:v>
                </c:pt>
                <c:pt idx="121">
                  <c:v>42.983666321671734</c:v>
                </c:pt>
                <c:pt idx="122">
                  <c:v>53.454301050579858</c:v>
                </c:pt>
                <c:pt idx="123">
                  <c:v>35.020904029405067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CE-4FD3-85EC-252A7B4DF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800255"/>
        <c:axId val="1286801215"/>
      </c:scatterChart>
      <c:valAx>
        <c:axId val="1286800255"/>
        <c:scaling>
          <c:orientation val="minMax"/>
          <c:max val="46110"/>
          <c:min val="461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86801215"/>
        <c:crosses val="autoZero"/>
        <c:crossBetween val="midCat"/>
      </c:valAx>
      <c:valAx>
        <c:axId val="12868012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86800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'Sem ajuste calibração'!$D$1</c:f>
              <c:strCache>
                <c:ptCount val="1"/>
                <c:pt idx="0">
                  <c:v>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calibração'!$D$2:$D$973</c:f>
              <c:numCache>
                <c:formatCode>General</c:formatCode>
                <c:ptCount val="972"/>
                <c:pt idx="0">
                  <c:v>26.599590565550436</c:v>
                </c:pt>
                <c:pt idx="1">
                  <c:v>24.280911667084847</c:v>
                </c:pt>
                <c:pt idx="2">
                  <c:v>22.228264536207732</c:v>
                </c:pt>
                <c:pt idx="3">
                  <c:v>58.230279852566269</c:v>
                </c:pt>
                <c:pt idx="4">
                  <c:v>25.084925134358066</c:v>
                </c:pt>
                <c:pt idx="5">
                  <c:v>81.113935885185626</c:v>
                </c:pt>
                <c:pt idx="6">
                  <c:v>207.74921913933025</c:v>
                </c:pt>
                <c:pt idx="7">
                  <c:v>238.87143235729633</c:v>
                </c:pt>
                <c:pt idx="8">
                  <c:v>115.59306442639638</c:v>
                </c:pt>
                <c:pt idx="9">
                  <c:v>20.591807704519404</c:v>
                </c:pt>
                <c:pt idx="10">
                  <c:v>288.56422830176155</c:v>
                </c:pt>
                <c:pt idx="11">
                  <c:v>42.011368738184714</c:v>
                </c:pt>
                <c:pt idx="12">
                  <c:v>254.61066123384813</c:v>
                </c:pt>
                <c:pt idx="13">
                  <c:v>219.7251572090619</c:v>
                </c:pt>
                <c:pt idx="14">
                  <c:v>136.99259740796663</c:v>
                </c:pt>
                <c:pt idx="15">
                  <c:v>30.617755872645869</c:v>
                </c:pt>
                <c:pt idx="16">
                  <c:v>34.86147570580782</c:v>
                </c:pt>
                <c:pt idx="17">
                  <c:v>44.562651516093688</c:v>
                </c:pt>
                <c:pt idx="18">
                  <c:v>41.47563545985922</c:v>
                </c:pt>
                <c:pt idx="19">
                  <c:v>171.69391948383702</c:v>
                </c:pt>
                <c:pt idx="20">
                  <c:v>59.39814495991159</c:v>
                </c:pt>
                <c:pt idx="21">
                  <c:v>45.931749684677193</c:v>
                </c:pt>
                <c:pt idx="22">
                  <c:v>89.511791725837142</c:v>
                </c:pt>
                <c:pt idx="23">
                  <c:v>53.120857920173691</c:v>
                </c:pt>
                <c:pt idx="24">
                  <c:v>72.645530698612006</c:v>
                </c:pt>
                <c:pt idx="25">
                  <c:v>81.113935885185626</c:v>
                </c:pt>
                <c:pt idx="26">
                  <c:v>205.50137118564371</c:v>
                </c:pt>
                <c:pt idx="27">
                  <c:v>121.16950929220532</c:v>
                </c:pt>
                <c:pt idx="28">
                  <c:v>78.744660696808253</c:v>
                </c:pt>
                <c:pt idx="29">
                  <c:v>49.754578376229077</c:v>
                </c:pt>
                <c:pt idx="30">
                  <c:v>81.113935885185626</c:v>
                </c:pt>
                <c:pt idx="31">
                  <c:v>122.00634349611492</c:v>
                </c:pt>
                <c:pt idx="32">
                  <c:v>67.318622479661656</c:v>
                </c:pt>
                <c:pt idx="33">
                  <c:v>46.721651239538318</c:v>
                </c:pt>
                <c:pt idx="34">
                  <c:v>35.899719689406325</c:v>
                </c:pt>
                <c:pt idx="35">
                  <c:v>199.026127266006</c:v>
                </c:pt>
                <c:pt idx="36">
                  <c:v>32.637845251095499</c:v>
                </c:pt>
                <c:pt idx="37">
                  <c:v>73.319942907585315</c:v>
                </c:pt>
                <c:pt idx="38">
                  <c:v>201.14117298346326</c:v>
                </c:pt>
                <c:pt idx="39">
                  <c:v>58.460764686851178</c:v>
                </c:pt>
                <c:pt idx="40">
                  <c:v>72.645530698612006</c:v>
                </c:pt>
                <c:pt idx="41">
                  <c:v>118.72078945267329</c:v>
                </c:pt>
                <c:pt idx="42">
                  <c:v>86.246385474330012</c:v>
                </c:pt>
                <c:pt idx="43">
                  <c:v>54.532069284823677</c:v>
                </c:pt>
                <c:pt idx="44">
                  <c:v>144.66168557166648</c:v>
                </c:pt>
                <c:pt idx="45">
                  <c:v>81.520963215934373</c:v>
                </c:pt>
                <c:pt idx="46">
                  <c:v>58.460764686851178</c:v>
                </c:pt>
                <c:pt idx="47">
                  <c:v>84.473509026652835</c:v>
                </c:pt>
                <c:pt idx="48">
                  <c:v>90.979009731176404</c:v>
                </c:pt>
                <c:pt idx="49">
                  <c:v>89.511791725837142</c:v>
                </c:pt>
                <c:pt idx="50">
                  <c:v>36.874716314656489</c:v>
                </c:pt>
                <c:pt idx="51">
                  <c:v>61.100454969887139</c:v>
                </c:pt>
                <c:pt idx="52">
                  <c:v>28.851264771116412</c:v>
                </c:pt>
                <c:pt idx="53">
                  <c:v>92.489479288955479</c:v>
                </c:pt>
                <c:pt idx="54">
                  <c:v>83.610970738815851</c:v>
                </c:pt>
                <c:pt idx="55">
                  <c:v>78.744660696808253</c:v>
                </c:pt>
                <c:pt idx="56">
                  <c:v>121.16950929220532</c:v>
                </c:pt>
                <c:pt idx="57">
                  <c:v>102.57806920806232</c:v>
                </c:pt>
                <c:pt idx="58">
                  <c:v>48.709092228000429</c:v>
                </c:pt>
                <c:pt idx="59">
                  <c:v>127.25776459931619</c:v>
                </c:pt>
                <c:pt idx="60">
                  <c:v>79.913949094888125</c:v>
                </c:pt>
                <c:pt idx="61">
                  <c:v>81.520963215934373</c:v>
                </c:pt>
                <c:pt idx="62">
                  <c:v>80.710455055801347</c:v>
                </c:pt>
                <c:pt idx="63">
                  <c:v>54.946664692895119</c:v>
                </c:pt>
                <c:pt idx="64">
                  <c:v>119.52692350414497</c:v>
                </c:pt>
                <c:pt idx="65">
                  <c:v>34.458802855664779</c:v>
                </c:pt>
                <c:pt idx="66">
                  <c:v>13.741268112706894</c:v>
                </c:pt>
                <c:pt idx="67">
                  <c:v>45.468013720575861</c:v>
                </c:pt>
                <c:pt idx="68">
                  <c:v>74.005253061520705</c:v>
                </c:pt>
                <c:pt idx="69">
                  <c:v>407.31362839144907</c:v>
                </c:pt>
                <c:pt idx="70">
                  <c:v>120.34310050024175</c:v>
                </c:pt>
                <c:pt idx="71">
                  <c:v>127.25776459931619</c:v>
                </c:pt>
                <c:pt idx="72">
                  <c:v>77.98161294972266</c:v>
                </c:pt>
                <c:pt idx="73">
                  <c:v>51.392706038208388</c:v>
                </c:pt>
                <c:pt idx="74">
                  <c:v>75.409641169473502</c:v>
                </c:pt>
                <c:pt idx="75">
                  <c:v>81.520963215934373</c:v>
                </c:pt>
                <c:pt idx="76">
                  <c:v>601.33576920793689</c:v>
                </c:pt>
                <c:pt idx="77">
                  <c:v>59.39814495991159</c:v>
                </c:pt>
                <c:pt idx="78">
                  <c:v>75.05423686216534</c:v>
                </c:pt>
                <c:pt idx="79">
                  <c:v>72.645530698612006</c:v>
                </c:pt>
                <c:pt idx="80">
                  <c:v>35.688367320997024</c:v>
                </c:pt>
                <c:pt idx="81">
                  <c:v>15.105596860219245</c:v>
                </c:pt>
                <c:pt idx="82">
                  <c:v>60.852280008925497</c:v>
                </c:pt>
                <c:pt idx="83">
                  <c:v>147.00053145340991</c:v>
                </c:pt>
                <c:pt idx="84">
                  <c:v>45.468013720575861</c:v>
                </c:pt>
                <c:pt idx="85">
                  <c:v>35.374849314361022</c:v>
                </c:pt>
                <c:pt idx="86">
                  <c:v>15.273872246351367</c:v>
                </c:pt>
                <c:pt idx="87">
                  <c:v>28.170597603697146</c:v>
                </c:pt>
                <c:pt idx="88">
                  <c:v>39.070743802859212</c:v>
                </c:pt>
                <c:pt idx="89">
                  <c:v>68.209102983284893</c:v>
                </c:pt>
                <c:pt idx="90">
                  <c:v>84.910671505827821</c:v>
                </c:pt>
                <c:pt idx="91">
                  <c:v>67.613230358293748</c:v>
                </c:pt>
                <c:pt idx="92">
                  <c:v>109.76769643979594</c:v>
                </c:pt>
                <c:pt idx="93">
                  <c:v>55.578412312499417</c:v>
                </c:pt>
                <c:pt idx="94">
                  <c:v>133.93168091890101</c:v>
                </c:pt>
                <c:pt idx="95">
                  <c:v>67.318622479661656</c:v>
                </c:pt>
                <c:pt idx="96">
                  <c:v>51.768704107188967</c:v>
                </c:pt>
                <c:pt idx="97">
                  <c:v>86.699886308483428</c:v>
                </c:pt>
                <c:pt idx="98">
                  <c:v>57.547848125122279</c:v>
                </c:pt>
                <c:pt idx="99">
                  <c:v>111.17339403956458</c:v>
                </c:pt>
                <c:pt idx="100">
                  <c:v>185.3222154315398</c:v>
                </c:pt>
                <c:pt idx="101">
                  <c:v>56.43966896790463</c:v>
                </c:pt>
                <c:pt idx="102">
                  <c:v>79.913949094888125</c:v>
                </c:pt>
                <c:pt idx="103">
                  <c:v>297.32044837040246</c:v>
                </c:pt>
                <c:pt idx="104">
                  <c:v>65.877893976093176</c:v>
                </c:pt>
                <c:pt idx="105">
                  <c:v>81.931584013822928</c:v>
                </c:pt>
                <c:pt idx="106">
                  <c:v>71.981758533112696</c:v>
                </c:pt>
                <c:pt idx="107">
                  <c:v>49.577816559439235</c:v>
                </c:pt>
                <c:pt idx="108">
                  <c:v>59.39814495991159</c:v>
                </c:pt>
                <c:pt idx="109">
                  <c:v>45.621758026789458</c:v>
                </c:pt>
                <c:pt idx="110">
                  <c:v>90.485223958532274</c:v>
                </c:pt>
                <c:pt idx="111">
                  <c:v>76.493584606035881</c:v>
                </c:pt>
                <c:pt idx="112">
                  <c:v>174.9209431437973</c:v>
                </c:pt>
                <c:pt idx="113">
                  <c:v>35.065469818851746</c:v>
                </c:pt>
                <c:pt idx="114">
                  <c:v>60.605795973690448</c:v>
                </c:pt>
                <c:pt idx="115">
                  <c:v>78.361517021517685</c:v>
                </c:pt>
                <c:pt idx="116">
                  <c:v>103.19625325270299</c:v>
                </c:pt>
                <c:pt idx="117">
                  <c:v>103.82117362556215</c:v>
                </c:pt>
                <c:pt idx="118">
                  <c:v>159.83069836746574</c:v>
                </c:pt>
                <c:pt idx="119">
                  <c:v>105.09166864128083</c:v>
                </c:pt>
                <c:pt idx="120">
                  <c:v>135.95807533003583</c:v>
                </c:pt>
                <c:pt idx="121">
                  <c:v>62.367313290731083</c:v>
                </c:pt>
                <c:pt idx="122">
                  <c:v>83.185489474233663</c:v>
                </c:pt>
                <c:pt idx="123">
                  <c:v>47.043729415085778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9-434D-BFDB-A4E49D0CD18B}"/>
            </c:ext>
          </c:extLst>
        </c:ser>
        <c:ser>
          <c:idx val="1"/>
          <c:order val="1"/>
          <c:tx>
            <c:strRef>
              <c:f>'Sem ajuste calibração'!$H$1</c:f>
              <c:strCache>
                <c:ptCount val="1"/>
                <c:pt idx="0">
                  <c:v>N0_4h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calibração'!$H$2:$H$973</c:f>
              <c:numCache>
                <c:formatCode>General</c:formatCode>
                <c:ptCount val="972"/>
                <c:pt idx="3">
                  <c:v>29.239603182023711</c:v>
                </c:pt>
                <c:pt idx="4">
                  <c:v>28.793651644966616</c:v>
                </c:pt>
                <c:pt idx="5">
                  <c:v>37.20869022066757</c:v>
                </c:pt>
                <c:pt idx="6">
                  <c:v>58.63463071146068</c:v>
                </c:pt>
                <c:pt idx="7">
                  <c:v>74.178314421952805</c:v>
                </c:pt>
                <c:pt idx="8">
                  <c:v>135.44620102826789</c:v>
                </c:pt>
                <c:pt idx="9">
                  <c:v>72.561982500267803</c:v>
                </c:pt>
                <c:pt idx="10">
                  <c:v>74.789585352584822</c:v>
                </c:pt>
                <c:pt idx="11">
                  <c:v>54.02104431034477</c:v>
                </c:pt>
                <c:pt idx="12">
                  <c:v>58.751022292040133</c:v>
                </c:pt>
                <c:pt idx="13">
                  <c:v>121.37773279085229</c:v>
                </c:pt>
                <c:pt idx="14">
                  <c:v>107.88664800178826</c:v>
                </c:pt>
                <c:pt idx="15">
                  <c:v>92.234649818593923</c:v>
                </c:pt>
                <c:pt idx="16">
                  <c:v>59.457565964364122</c:v>
                </c:pt>
                <c:pt idx="17">
                  <c:v>45.737611946779268</c:v>
                </c:pt>
                <c:pt idx="18">
                  <c:v>37.264801389326799</c:v>
                </c:pt>
                <c:pt idx="19">
                  <c:v>51.252856369535792</c:v>
                </c:pt>
                <c:pt idx="20">
                  <c:v>59.576707285832867</c:v>
                </c:pt>
                <c:pt idx="21">
                  <c:v>60.117832022052617</c:v>
                </c:pt>
                <c:pt idx="22">
                  <c:v>73.832889423966179</c:v>
                </c:pt>
                <c:pt idx="23">
                  <c:v>58.809363070442224</c:v>
                </c:pt>
                <c:pt idx="24">
                  <c:v>61.665121907258055</c:v>
                </c:pt>
                <c:pt idx="25">
                  <c:v>71.735535866428052</c:v>
                </c:pt>
                <c:pt idx="26">
                  <c:v>82.034806275384554</c:v>
                </c:pt>
                <c:pt idx="27">
                  <c:v>103.35184753154721</c:v>
                </c:pt>
                <c:pt idx="28">
                  <c:v>106.06306410764812</c:v>
                </c:pt>
                <c:pt idx="29">
                  <c:v>89.632453310430975</c:v>
                </c:pt>
                <c:pt idx="30">
                  <c:v>75.948254077851487</c:v>
                </c:pt>
                <c:pt idx="31">
                  <c:v>76.038672621413383</c:v>
                </c:pt>
                <c:pt idx="32">
                  <c:v>73.065775258296668</c:v>
                </c:pt>
                <c:pt idx="33">
                  <c:v>71.572192742661869</c:v>
                </c:pt>
                <c:pt idx="34">
                  <c:v>56.933915616372865</c:v>
                </c:pt>
                <c:pt idx="35">
                  <c:v>60.300042578245396</c:v>
                </c:pt>
                <c:pt idx="36">
                  <c:v>49.40207196740063</c:v>
                </c:pt>
                <c:pt idx="37">
                  <c:v>54.842528520946686</c:v>
                </c:pt>
                <c:pt idx="38">
                  <c:v>79.618795482524533</c:v>
                </c:pt>
                <c:pt idx="39">
                  <c:v>63.346856354207773</c:v>
                </c:pt>
                <c:pt idx="40">
                  <c:v>82.241936547137684</c:v>
                </c:pt>
                <c:pt idx="41">
                  <c:v>92.234649818593866</c:v>
                </c:pt>
                <c:pt idx="42">
                  <c:v>79.228209450121156</c:v>
                </c:pt>
                <c:pt idx="43">
                  <c:v>77.511226286685257</c:v>
                </c:pt>
                <c:pt idx="44">
                  <c:v>89.874643353706006</c:v>
                </c:pt>
                <c:pt idx="45">
                  <c:v>82.554357753587638</c:v>
                </c:pt>
                <c:pt idx="46">
                  <c:v>74.352077750396688</c:v>
                </c:pt>
                <c:pt idx="47">
                  <c:v>84.040293172308409</c:v>
                </c:pt>
                <c:pt idx="48">
                  <c:v>76.953249369184249</c:v>
                </c:pt>
                <c:pt idx="49">
                  <c:v>78.648568801418648</c:v>
                </c:pt>
                <c:pt idx="50">
                  <c:v>67.318622479661656</c:v>
                </c:pt>
                <c:pt idx="51">
                  <c:v>62.431817802856756</c:v>
                </c:pt>
                <c:pt idx="52">
                  <c:v>46.363523213781413</c:v>
                </c:pt>
                <c:pt idx="53">
                  <c:v>46.601783684941168</c:v>
                </c:pt>
                <c:pt idx="54">
                  <c:v>56.658449931114532</c:v>
                </c:pt>
                <c:pt idx="55">
                  <c:v>59.936543934533468</c:v>
                </c:pt>
                <c:pt idx="56">
                  <c:v>91.728719409611628</c:v>
                </c:pt>
                <c:pt idx="57">
                  <c:v>94.045141503398952</c:v>
                </c:pt>
                <c:pt idx="58">
                  <c:v>79.423082999835799</c:v>
                </c:pt>
                <c:pt idx="59">
                  <c:v>88.203271096262</c:v>
                </c:pt>
                <c:pt idx="60">
                  <c:v>80.410144032503837</c:v>
                </c:pt>
                <c:pt idx="61">
                  <c:v>76.402224355447672</c:v>
                </c:pt>
                <c:pt idx="62">
                  <c:v>89.151528353239769</c:v>
                </c:pt>
                <c:pt idx="63">
                  <c:v>72.561982500267746</c:v>
                </c:pt>
                <c:pt idx="64">
                  <c:v>78.840957664899506</c:v>
                </c:pt>
                <c:pt idx="65">
                  <c:v>60.852280008925497</c:v>
                </c:pt>
                <c:pt idx="66">
                  <c:v>36.086212183577246</c:v>
                </c:pt>
                <c:pt idx="67">
                  <c:v>34.709649205820511</c:v>
                </c:pt>
                <c:pt idx="68">
                  <c:v>32.637845251095499</c:v>
                </c:pt>
                <c:pt idx="69">
                  <c:v>44.636997792121782</c:v>
                </c:pt>
                <c:pt idx="70">
                  <c:v>90.485223958532274</c:v>
                </c:pt>
                <c:pt idx="71">
                  <c:v>127.03072072160336</c:v>
                </c:pt>
                <c:pt idx="72">
                  <c:v>129.56981771470922</c:v>
                </c:pt>
                <c:pt idx="73">
                  <c:v>84.040293172308409</c:v>
                </c:pt>
                <c:pt idx="74">
                  <c:v>75.858022127872005</c:v>
                </c:pt>
                <c:pt idx="75">
                  <c:v>69.583201021466394</c:v>
                </c:pt>
                <c:pt idx="76">
                  <c:v>89.032010949380819</c:v>
                </c:pt>
                <c:pt idx="77">
                  <c:v>93.782640228653946</c:v>
                </c:pt>
                <c:pt idx="78">
                  <c:v>93.651878633236493</c:v>
                </c:pt>
                <c:pt idx="79">
                  <c:v>90.608223752077734</c:v>
                </c:pt>
                <c:pt idx="80">
                  <c:v>56.603622698371247</c:v>
                </c:pt>
                <c:pt idx="81">
                  <c:v>37.152708032114738</c:v>
                </c:pt>
                <c:pt idx="82">
                  <c:v>35.846704303099536</c:v>
                </c:pt>
                <c:pt idx="83">
                  <c:v>39.191860486529109</c:v>
                </c:pt>
                <c:pt idx="84">
                  <c:v>41.641896170686202</c:v>
                </c:pt>
                <c:pt idx="85">
                  <c:v>56.276502751134593</c:v>
                </c:pt>
                <c:pt idx="86">
                  <c:v>36.957779695586233</c:v>
                </c:pt>
                <c:pt idx="87">
                  <c:v>27.930410436533652</c:v>
                </c:pt>
                <c:pt idx="88">
                  <c:v>27.085787385588439</c:v>
                </c:pt>
                <c:pt idx="89">
                  <c:v>30.659702704533021</c:v>
                </c:pt>
                <c:pt idx="90">
                  <c:v>47.410353447549682</c:v>
                </c:pt>
                <c:pt idx="91">
                  <c:v>60.7905011526191</c:v>
                </c:pt>
                <c:pt idx="92">
                  <c:v>79.815352327298697</c:v>
                </c:pt>
                <c:pt idx="93">
                  <c:v>75.142815152468174</c:v>
                </c:pt>
                <c:pt idx="94">
                  <c:v>82.241936547137684</c:v>
                </c:pt>
                <c:pt idx="95">
                  <c:v>82.13825686700747</c:v>
                </c:pt>
                <c:pt idx="96">
                  <c:v>68.059294899102028</c:v>
                </c:pt>
                <c:pt idx="97">
                  <c:v>76.311053619546584</c:v>
                </c:pt>
                <c:pt idx="98">
                  <c:v>63.745986528978484</c:v>
                </c:pt>
                <c:pt idx="99">
                  <c:v>70.765000120161289</c:v>
                </c:pt>
                <c:pt idx="100">
                  <c:v>94.045141503398952</c:v>
                </c:pt>
                <c:pt idx="101">
                  <c:v>82.763798057457436</c:v>
                </c:pt>
                <c:pt idx="102">
                  <c:v>91.352498397610148</c:v>
                </c:pt>
                <c:pt idx="103">
                  <c:v>106.22653923386649</c:v>
                </c:pt>
                <c:pt idx="104">
                  <c:v>84.148230065844814</c:v>
                </c:pt>
                <c:pt idx="105">
                  <c:v>94.308955039200498</c:v>
                </c:pt>
                <c:pt idx="106">
                  <c:v>91.477600330584607</c:v>
                </c:pt>
                <c:pt idx="107">
                  <c:v>65.455890111096139</c:v>
                </c:pt>
                <c:pt idx="108">
                  <c:v>63.745986528978449</c:v>
                </c:pt>
                <c:pt idx="109">
                  <c:v>55.208441031563225</c:v>
                </c:pt>
                <c:pt idx="110">
                  <c:v>57.717200714673091</c:v>
                </c:pt>
                <c:pt idx="111">
                  <c:v>64.284829238161308</c:v>
                </c:pt>
                <c:pt idx="112">
                  <c:v>79.325541695856032</c:v>
                </c:pt>
                <c:pt idx="113">
                  <c:v>71.817448549005164</c:v>
                </c:pt>
                <c:pt idx="114">
                  <c:v>65.316243200506037</c:v>
                </c:pt>
                <c:pt idx="115">
                  <c:v>65.666315088707123</c:v>
                </c:pt>
                <c:pt idx="116">
                  <c:v>60.976155038046684</c:v>
                </c:pt>
                <c:pt idx="117">
                  <c:v>82.868868385630321</c:v>
                </c:pt>
                <c:pt idx="118">
                  <c:v>104.93132794107365</c:v>
                </c:pt>
                <c:pt idx="119">
                  <c:v>114.27143917132803</c:v>
                </c:pt>
                <c:pt idx="120">
                  <c:v>122.42873197255841</c:v>
                </c:pt>
                <c:pt idx="121">
                  <c:v>103.66430598822171</c:v>
                </c:pt>
                <c:pt idx="122">
                  <c:v>89.874643353706006</c:v>
                </c:pt>
                <c:pt idx="123">
                  <c:v>71.899522612104477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D9-434D-BFDB-A4E49D0CD18B}"/>
            </c:ext>
          </c:extLst>
        </c:ser>
        <c:ser>
          <c:idx val="2"/>
          <c:order val="2"/>
          <c:tx>
            <c:strRef>
              <c:f>'Sem ajuste calibração'!$L$1</c:f>
              <c:strCache>
                <c:ptCount val="1"/>
                <c:pt idx="0">
                  <c:v>N0_6h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calibração'!$L$2:$L$973</c:f>
              <c:numCache>
                <c:formatCode>General</c:formatCode>
                <c:ptCount val="972"/>
                <c:pt idx="5">
                  <c:v>32.515462128848256</c:v>
                </c:pt>
                <c:pt idx="6">
                  <c:v>40.842432087557413</c:v>
                </c:pt>
                <c:pt idx="7">
                  <c:v>54.669691694500344</c:v>
                </c:pt>
                <c:pt idx="8">
                  <c:v>75.588440081252458</c:v>
                </c:pt>
                <c:pt idx="9">
                  <c:v>58.499327042945879</c:v>
                </c:pt>
                <c:pt idx="10">
                  <c:v>85.72256679931877</c:v>
                </c:pt>
                <c:pt idx="11">
                  <c:v>74.701727464748402</c:v>
                </c:pt>
                <c:pt idx="12">
                  <c:v>75.708048630881379</c:v>
                </c:pt>
                <c:pt idx="13">
                  <c:v>75.290849212109919</c:v>
                </c:pt>
                <c:pt idx="14">
                  <c:v>76.738142963512388</c:v>
                </c:pt>
                <c:pt idx="15">
                  <c:v>87.542327621829543</c:v>
                </c:pt>
                <c:pt idx="16">
                  <c:v>64.625542539563071</c:v>
                </c:pt>
                <c:pt idx="17">
                  <c:v>65.455890111096096</c:v>
                </c:pt>
                <c:pt idx="18">
                  <c:v>52.956864264973767</c:v>
                </c:pt>
                <c:pt idx="19">
                  <c:v>52.181141735502401</c:v>
                </c:pt>
                <c:pt idx="20">
                  <c:v>47.561038629227546</c:v>
                </c:pt>
                <c:pt idx="21">
                  <c:v>51.486285961442022</c:v>
                </c:pt>
                <c:pt idx="22">
                  <c:v>60.27975118802398</c:v>
                </c:pt>
                <c:pt idx="23">
                  <c:v>62.367313290731119</c:v>
                </c:pt>
                <c:pt idx="24">
                  <c:v>69.325175482328348</c:v>
                </c:pt>
                <c:pt idx="25">
                  <c:v>63.902355813050349</c:v>
                </c:pt>
                <c:pt idx="26">
                  <c:v>74.120549515705974</c:v>
                </c:pt>
                <c:pt idx="27">
                  <c:v>88.164147973012646</c:v>
                </c:pt>
                <c:pt idx="28">
                  <c:v>86.246385474330083</c:v>
                </c:pt>
                <c:pt idx="29">
                  <c:v>84.910671505827878</c:v>
                </c:pt>
                <c:pt idx="30">
                  <c:v>86.624010833144311</c:v>
                </c:pt>
                <c:pt idx="31">
                  <c:v>92.234649818594022</c:v>
                </c:pt>
                <c:pt idx="32">
                  <c:v>79.520834036333383</c:v>
                </c:pt>
                <c:pt idx="33">
                  <c:v>67.910048867714266</c:v>
                </c:pt>
                <c:pt idx="34">
                  <c:v>58.615269600439809</c:v>
                </c:pt>
                <c:pt idx="35">
                  <c:v>69.583201021466394</c:v>
                </c:pt>
                <c:pt idx="36">
                  <c:v>58.383767297487353</c:v>
                </c:pt>
                <c:pt idx="37">
                  <c:v>55.051128298584814</c:v>
                </c:pt>
                <c:pt idx="38">
                  <c:v>61.517885048783718</c:v>
                </c:pt>
                <c:pt idx="39">
                  <c:v>64.171934871420092</c:v>
                </c:pt>
                <c:pt idx="40">
                  <c:v>74.120549515705918</c:v>
                </c:pt>
                <c:pt idx="41">
                  <c:v>70.685142783134893</c:v>
                </c:pt>
                <c:pt idx="42">
                  <c:v>87.542327621829543</c:v>
                </c:pt>
                <c:pt idx="43">
                  <c:v>82.345846077584227</c:v>
                </c:pt>
                <c:pt idx="44">
                  <c:v>79.913949094888068</c:v>
                </c:pt>
                <c:pt idx="45">
                  <c:v>85.130749621641044</c:v>
                </c:pt>
                <c:pt idx="46">
                  <c:v>81.520963215934373</c:v>
                </c:pt>
                <c:pt idx="47">
                  <c:v>77.730123114980316</c:v>
                </c:pt>
                <c:pt idx="48">
                  <c:v>78.361517021517685</c:v>
                </c:pt>
                <c:pt idx="49">
                  <c:v>86.021202186437662</c:v>
                </c:pt>
                <c:pt idx="50">
                  <c:v>67.662545923972829</c:v>
                </c:pt>
                <c:pt idx="51">
                  <c:v>64.625542539563114</c:v>
                </c:pt>
                <c:pt idx="52">
                  <c:v>55.6848733465892</c:v>
                </c:pt>
                <c:pt idx="53">
                  <c:v>56.294593617676981</c:v>
                </c:pt>
                <c:pt idx="54">
                  <c:v>55.720435493574549</c:v>
                </c:pt>
                <c:pt idx="55">
                  <c:v>54.842528520946686</c:v>
                </c:pt>
                <c:pt idx="56">
                  <c:v>66.114346559370247</c:v>
                </c:pt>
                <c:pt idx="57">
                  <c:v>71.490761356040082</c:v>
                </c:pt>
                <c:pt idx="58">
                  <c:v>82.069264398533562</c:v>
                </c:pt>
                <c:pt idx="59">
                  <c:v>85.722566799318628</c:v>
                </c:pt>
                <c:pt idx="60">
                  <c:v>85.057278695544497</c:v>
                </c:pt>
                <c:pt idx="61">
                  <c:v>85.573933931855279</c:v>
                </c:pt>
                <c:pt idx="62">
                  <c:v>80.643549797358844</c:v>
                </c:pt>
                <c:pt idx="63">
                  <c:v>72.534169957557538</c:v>
                </c:pt>
                <c:pt idx="64">
                  <c:v>84.618788683977257</c:v>
                </c:pt>
                <c:pt idx="65">
                  <c:v>66.447818393534064</c:v>
                </c:pt>
                <c:pt idx="66">
                  <c:v>45.289688097998571</c:v>
                </c:pt>
                <c:pt idx="67">
                  <c:v>41.853997192867652</c:v>
                </c:pt>
                <c:pt idx="68">
                  <c:v>41.453545935215665</c:v>
                </c:pt>
                <c:pt idx="69">
                  <c:v>48.115543971884257</c:v>
                </c:pt>
                <c:pt idx="70">
                  <c:v>48.143542686300854</c:v>
                </c:pt>
                <c:pt idx="71">
                  <c:v>58.230279852566269</c:v>
                </c:pt>
                <c:pt idx="72">
                  <c:v>92.660062300870209</c:v>
                </c:pt>
                <c:pt idx="73">
                  <c:v>95.738534922286703</c:v>
                </c:pt>
                <c:pt idx="74">
                  <c:v>96.101986283549337</c:v>
                </c:pt>
                <c:pt idx="75">
                  <c:v>82.069264398533562</c:v>
                </c:pt>
                <c:pt idx="76">
                  <c:v>91.644877077379988</c:v>
                </c:pt>
                <c:pt idx="77">
                  <c:v>80.710455055801418</c:v>
                </c:pt>
                <c:pt idx="78">
                  <c:v>80.177917744732341</c:v>
                </c:pt>
                <c:pt idx="79">
                  <c:v>86.171208919680481</c:v>
                </c:pt>
                <c:pt idx="80">
                  <c:v>72.86913997456341</c:v>
                </c:pt>
                <c:pt idx="81">
                  <c:v>49.754578376229077</c:v>
                </c:pt>
                <c:pt idx="82">
                  <c:v>42.975444763447022</c:v>
                </c:pt>
                <c:pt idx="83">
                  <c:v>47.124806515796791</c:v>
                </c:pt>
                <c:pt idx="84">
                  <c:v>43.878133119334272</c:v>
                </c:pt>
                <c:pt idx="85">
                  <c:v>39.43584267388399</c:v>
                </c:pt>
                <c:pt idx="86">
                  <c:v>33.291687516870148</c:v>
                </c:pt>
                <c:pt idx="87">
                  <c:v>37.85227789686266</c:v>
                </c:pt>
                <c:pt idx="88">
                  <c:v>35.548509757386832</c:v>
                </c:pt>
                <c:pt idx="89">
                  <c:v>33.354969944937473</c:v>
                </c:pt>
                <c:pt idx="90">
                  <c:v>35.899719689406325</c:v>
                </c:pt>
                <c:pt idx="91">
                  <c:v>39.39501600989108</c:v>
                </c:pt>
                <c:pt idx="92">
                  <c:v>56.07813858620424</c:v>
                </c:pt>
                <c:pt idx="93">
                  <c:v>64.946317276508594</c:v>
                </c:pt>
                <c:pt idx="94">
                  <c:v>79.979798646041303</c:v>
                </c:pt>
                <c:pt idx="95">
                  <c:v>79.78253398510401</c:v>
                </c:pt>
                <c:pt idx="96">
                  <c:v>72.813126312959824</c:v>
                </c:pt>
                <c:pt idx="97">
                  <c:v>75.827986176654889</c:v>
                </c:pt>
                <c:pt idx="98">
                  <c:v>68.560858854120013</c:v>
                </c:pt>
                <c:pt idx="99">
                  <c:v>76.493584606035824</c:v>
                </c:pt>
                <c:pt idx="100">
                  <c:v>78.873102339480369</c:v>
                </c:pt>
                <c:pt idx="101">
                  <c:v>76.189786421169686</c:v>
                </c:pt>
                <c:pt idx="102">
                  <c:v>82.903943899138582</c:v>
                </c:pt>
                <c:pt idx="103">
                  <c:v>94.485564631083534</c:v>
                </c:pt>
                <c:pt idx="104">
                  <c:v>97.487152857353124</c:v>
                </c:pt>
                <c:pt idx="105">
                  <c:v>92.660062300870209</c:v>
                </c:pt>
                <c:pt idx="106">
                  <c:v>81.520963215934444</c:v>
                </c:pt>
                <c:pt idx="107">
                  <c:v>79.195811709472508</c:v>
                </c:pt>
                <c:pt idx="108">
                  <c:v>75.054236862165382</c:v>
                </c:pt>
                <c:pt idx="109">
                  <c:v>60.279751188024008</c:v>
                </c:pt>
                <c:pt idx="110">
                  <c:v>63.061218956095303</c:v>
                </c:pt>
                <c:pt idx="111">
                  <c:v>62.453344349059549</c:v>
                </c:pt>
                <c:pt idx="112">
                  <c:v>69.017704285384951</c:v>
                </c:pt>
                <c:pt idx="113">
                  <c:v>63.857612597309263</c:v>
                </c:pt>
                <c:pt idx="114">
                  <c:v>64.081861262228486</c:v>
                </c:pt>
                <c:pt idx="115">
                  <c:v>70.68514278313495</c:v>
                </c:pt>
                <c:pt idx="116">
                  <c:v>71.926916577932914</c:v>
                </c:pt>
                <c:pt idx="117">
                  <c:v>75.172381551728932</c:v>
                </c:pt>
                <c:pt idx="118">
                  <c:v>74.584861540489172</c:v>
                </c:pt>
                <c:pt idx="119">
                  <c:v>94.132933056758603</c:v>
                </c:pt>
                <c:pt idx="120">
                  <c:v>109.19145194102499</c:v>
                </c:pt>
                <c:pt idx="121">
                  <c:v>103.61211156921075</c:v>
                </c:pt>
                <c:pt idx="122">
                  <c:v>99.681734471258295</c:v>
                </c:pt>
                <c:pt idx="123">
                  <c:v>84.691593575107362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D9-434D-BFDB-A4E49D0CD18B}"/>
            </c:ext>
          </c:extLst>
        </c:ser>
        <c:ser>
          <c:idx val="3"/>
          <c:order val="3"/>
          <c:tx>
            <c:strRef>
              <c:f>'Sem ajuste calibração'!$P$1</c:f>
              <c:strCache>
                <c:ptCount val="1"/>
                <c:pt idx="0">
                  <c:v>N0_8h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calibração'!$P$2:$P$973</c:f>
              <c:numCache>
                <c:formatCode>General</c:formatCode>
                <c:ptCount val="972"/>
                <c:pt idx="7">
                  <c:v>43.721610939511656</c:v>
                </c:pt>
                <c:pt idx="8">
                  <c:v>51.745072566014208</c:v>
                </c:pt>
                <c:pt idx="9">
                  <c:v>50.178516513159011</c:v>
                </c:pt>
                <c:pt idx="10">
                  <c:v>65.877893976093176</c:v>
                </c:pt>
                <c:pt idx="11">
                  <c:v>62.756037627985975</c:v>
                </c:pt>
                <c:pt idx="12">
                  <c:v>83.557576578164699</c:v>
                </c:pt>
                <c:pt idx="13">
                  <c:v>91.477600330584607</c:v>
                </c:pt>
                <c:pt idx="14">
                  <c:v>88.675155726034859</c:v>
                </c:pt>
                <c:pt idx="15">
                  <c:v>68.814019829718632</c:v>
                </c:pt>
                <c:pt idx="16">
                  <c:v>59.102526516305907</c:v>
                </c:pt>
                <c:pt idx="17">
                  <c:v>68.510418058013514</c:v>
                </c:pt>
                <c:pt idx="18">
                  <c:v>57.745506945386957</c:v>
                </c:pt>
                <c:pt idx="19">
                  <c:v>66.699808858383179</c:v>
                </c:pt>
                <c:pt idx="20">
                  <c:v>59.517086655981409</c:v>
                </c:pt>
                <c:pt idx="21">
                  <c:v>52.125308353124936</c:v>
                </c:pt>
                <c:pt idx="22">
                  <c:v>50.562834631968101</c:v>
                </c:pt>
                <c:pt idx="23">
                  <c:v>54.816545459144884</c:v>
                </c:pt>
                <c:pt idx="24">
                  <c:v>60.605795973690448</c:v>
                </c:pt>
                <c:pt idx="25">
                  <c:v>65.490881208865531</c:v>
                </c:pt>
                <c:pt idx="26">
                  <c:v>77.74579980730924</c:v>
                </c:pt>
                <c:pt idx="27">
                  <c:v>75.723022804322369</c:v>
                </c:pt>
                <c:pt idx="28">
                  <c:v>78.696589155990068</c:v>
                </c:pt>
                <c:pt idx="29">
                  <c:v>79.815352327298697</c:v>
                </c:pt>
                <c:pt idx="30">
                  <c:v>78.889183256467106</c:v>
                </c:pt>
                <c:pt idx="31">
                  <c:v>87.852264853414212</c:v>
                </c:pt>
                <c:pt idx="32">
                  <c:v>86.871035911455692</c:v>
                </c:pt>
                <c:pt idx="33">
                  <c:v>79.716968018503692</c:v>
                </c:pt>
                <c:pt idx="34">
                  <c:v>65.281410627036621</c:v>
                </c:pt>
                <c:pt idx="35">
                  <c:v>67.392068554523249</c:v>
                </c:pt>
                <c:pt idx="36">
                  <c:v>59.30919981951871</c:v>
                </c:pt>
                <c:pt idx="37">
                  <c:v>62.270767294131957</c:v>
                </c:pt>
                <c:pt idx="38">
                  <c:v>66.66371051509779</c:v>
                </c:pt>
                <c:pt idx="39">
                  <c:v>61.791798356475994</c:v>
                </c:pt>
                <c:pt idx="40">
                  <c:v>62.335103225749144</c:v>
                </c:pt>
                <c:pt idx="41">
                  <c:v>69.428188383526404</c:v>
                </c:pt>
                <c:pt idx="42">
                  <c:v>79.423082999835685</c:v>
                </c:pt>
                <c:pt idx="43">
                  <c:v>69.816836623703594</c:v>
                </c:pt>
                <c:pt idx="44">
                  <c:v>85.908999169431695</c:v>
                </c:pt>
                <c:pt idx="45">
                  <c:v>87.157614851730642</c:v>
                </c:pt>
                <c:pt idx="46">
                  <c:v>76.722818247214079</c:v>
                </c:pt>
                <c:pt idx="47">
                  <c:v>80.660267008217915</c:v>
                </c:pt>
                <c:pt idx="48">
                  <c:v>82.974173206645958</c:v>
                </c:pt>
                <c:pt idx="49">
                  <c:v>80.560054632091777</c:v>
                </c:pt>
                <c:pt idx="50">
                  <c:v>70.68514278313495</c:v>
                </c:pt>
                <c:pt idx="51">
                  <c:v>71.858465378196939</c:v>
                </c:pt>
                <c:pt idx="52">
                  <c:v>58.460764686851206</c:v>
                </c:pt>
                <c:pt idx="53">
                  <c:v>59.161452821692031</c:v>
                </c:pt>
                <c:pt idx="54">
                  <c:v>61.601947750124829</c:v>
                </c:pt>
                <c:pt idx="55">
                  <c:v>61.162764958095607</c:v>
                </c:pt>
                <c:pt idx="56">
                  <c:v>62.658473488401143</c:v>
                </c:pt>
                <c:pt idx="57">
                  <c:v>63.446241410515967</c:v>
                </c:pt>
                <c:pt idx="58">
                  <c:v>66.411952268108664</c:v>
                </c:pt>
                <c:pt idx="59">
                  <c:v>71.735535866428052</c:v>
                </c:pt>
                <c:pt idx="60">
                  <c:v>85.74117791679879</c:v>
                </c:pt>
                <c:pt idx="61">
                  <c:v>84.419142314182722</c:v>
                </c:pt>
                <c:pt idx="62">
                  <c:v>84.040293172308353</c:v>
                </c:pt>
                <c:pt idx="63">
                  <c:v>79.716968018503593</c:v>
                </c:pt>
                <c:pt idx="64">
                  <c:v>79.61879548252459</c:v>
                </c:pt>
                <c:pt idx="65">
                  <c:v>67.872824810116754</c:v>
                </c:pt>
                <c:pt idx="66">
                  <c:v>53.120857920173634</c:v>
                </c:pt>
                <c:pt idx="67">
                  <c:v>48.136540542412746</c:v>
                </c:pt>
                <c:pt idx="68">
                  <c:v>47.802360264761631</c:v>
                </c:pt>
                <c:pt idx="69">
                  <c:v>51.721458671517553</c:v>
                </c:pt>
                <c:pt idx="70">
                  <c:v>53.393279519886249</c:v>
                </c:pt>
                <c:pt idx="71">
                  <c:v>57.802188918314066</c:v>
                </c:pt>
                <c:pt idx="72">
                  <c:v>55.738230688561721</c:v>
                </c:pt>
                <c:pt idx="73">
                  <c:v>59.220477571428944</c:v>
                </c:pt>
                <c:pt idx="74">
                  <c:v>82.60663052876825</c:v>
                </c:pt>
                <c:pt idx="75">
                  <c:v>90.793280742552369</c:v>
                </c:pt>
                <c:pt idx="76">
                  <c:v>105.90004235514485</c:v>
                </c:pt>
                <c:pt idx="77">
                  <c:v>88.67515572603493</c:v>
                </c:pt>
                <c:pt idx="78">
                  <c:v>83.932599612927078</c:v>
                </c:pt>
                <c:pt idx="79">
                  <c:v>78.889183256467049</c:v>
                </c:pt>
                <c:pt idx="80">
                  <c:v>69.699850763527238</c:v>
                </c:pt>
                <c:pt idx="81">
                  <c:v>55.051128298584814</c:v>
                </c:pt>
                <c:pt idx="82">
                  <c:v>53.793654651750877</c:v>
                </c:pt>
                <c:pt idx="83">
                  <c:v>56.249384547260981</c:v>
                </c:pt>
                <c:pt idx="84">
                  <c:v>48.199619087663706</c:v>
                </c:pt>
                <c:pt idx="85">
                  <c:v>45.144039371315337</c:v>
                </c:pt>
                <c:pt idx="86">
                  <c:v>36.395799250129791</c:v>
                </c:pt>
                <c:pt idx="87">
                  <c:v>32.857534365322842</c:v>
                </c:pt>
                <c:pt idx="88">
                  <c:v>33.208899808881078</c:v>
                </c:pt>
                <c:pt idx="89">
                  <c:v>40.483551633371185</c:v>
                </c:pt>
                <c:pt idx="90">
                  <c:v>41.675273623223674</c:v>
                </c:pt>
                <c:pt idx="91">
                  <c:v>39.527942585947137</c:v>
                </c:pt>
                <c:pt idx="92">
                  <c:v>42.748558214792823</c:v>
                </c:pt>
                <c:pt idx="93">
                  <c:v>45.21993667650672</c:v>
                </c:pt>
                <c:pt idx="94">
                  <c:v>60.852280008925497</c:v>
                </c:pt>
                <c:pt idx="95">
                  <c:v>70.091118944830171</c:v>
                </c:pt>
                <c:pt idx="96">
                  <c:v>73.532919307183178</c:v>
                </c:pt>
                <c:pt idx="97">
                  <c:v>75.723022804322369</c:v>
                </c:pt>
                <c:pt idx="98">
                  <c:v>71.981758533112696</c:v>
                </c:pt>
                <c:pt idx="99">
                  <c:v>76.083952046754476</c:v>
                </c:pt>
                <c:pt idx="100">
                  <c:v>79.228209450121099</c:v>
                </c:pt>
                <c:pt idx="101">
                  <c:v>79.423082999835685</c:v>
                </c:pt>
                <c:pt idx="102">
                  <c:v>75.409641169473446</c:v>
                </c:pt>
                <c:pt idx="103">
                  <c:v>85.351834787631489</c:v>
                </c:pt>
                <c:pt idx="104">
                  <c:v>88.853266095298139</c:v>
                </c:pt>
                <c:pt idx="105">
                  <c:v>88.203271096262</c:v>
                </c:pt>
                <c:pt idx="106">
                  <c:v>91.415011346106567</c:v>
                </c:pt>
                <c:pt idx="107">
                  <c:v>81.572093325770865</c:v>
                </c:pt>
                <c:pt idx="108">
                  <c:v>72.72924513728934</c:v>
                </c:pt>
                <c:pt idx="109">
                  <c:v>70.327695045299848</c:v>
                </c:pt>
                <c:pt idx="110">
                  <c:v>71.28787963318436</c:v>
                </c:pt>
                <c:pt idx="111">
                  <c:v>64.865870421291589</c:v>
                </c:pt>
                <c:pt idx="112">
                  <c:v>70.80498701356025</c:v>
                </c:pt>
                <c:pt idx="113">
                  <c:v>62.593573035563487</c:v>
                </c:pt>
                <c:pt idx="114">
                  <c:v>61.319008868199511</c:v>
                </c:pt>
                <c:pt idx="115">
                  <c:v>64.969333232814748</c:v>
                </c:pt>
                <c:pt idx="116">
                  <c:v>69.119934428358235</c:v>
                </c:pt>
                <c:pt idx="117">
                  <c:v>76.999480117424739</c:v>
                </c:pt>
                <c:pt idx="118">
                  <c:v>81.063307786433782</c:v>
                </c:pt>
                <c:pt idx="119">
                  <c:v>84.148230065844871</c:v>
                </c:pt>
                <c:pt idx="120">
                  <c:v>82.554357753587709</c:v>
                </c:pt>
                <c:pt idx="121">
                  <c:v>92.234649818593866</c:v>
                </c:pt>
                <c:pt idx="122">
                  <c:v>96.88255971642063</c:v>
                </c:pt>
                <c:pt idx="123">
                  <c:v>88.793825640925107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D9-434D-BFDB-A4E49D0CD18B}"/>
            </c:ext>
          </c:extLst>
        </c:ser>
        <c:ser>
          <c:idx val="4"/>
          <c:order val="4"/>
          <c:tx>
            <c:strRef>
              <c:f>'Sem ajuste calibração'!$T$1</c:f>
              <c:strCache>
                <c:ptCount val="1"/>
                <c:pt idx="0">
                  <c:v>N0_10h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calibração'!$T$2:$T$973</c:f>
              <c:numCache>
                <c:formatCode>General</c:formatCode>
                <c:ptCount val="972"/>
                <c:pt idx="9">
                  <c:v>42.877476756103903</c:v>
                </c:pt>
                <c:pt idx="10">
                  <c:v>50.617477447867351</c:v>
                </c:pt>
                <c:pt idx="11">
                  <c:v>54.408697659500291</c:v>
                </c:pt>
                <c:pt idx="12">
                  <c:v>67.969680036523044</c:v>
                </c:pt>
                <c:pt idx="13">
                  <c:v>74.842386101920837</c:v>
                </c:pt>
                <c:pt idx="14">
                  <c:v>93.521441448084758</c:v>
                </c:pt>
                <c:pt idx="15">
                  <c:v>80.952120575779887</c:v>
                </c:pt>
                <c:pt idx="16">
                  <c:v>68.389619074507152</c:v>
                </c:pt>
                <c:pt idx="17">
                  <c:v>60.43425401758644</c:v>
                </c:pt>
                <c:pt idx="18">
                  <c:v>55.155920884764612</c:v>
                </c:pt>
                <c:pt idx="19">
                  <c:v>68.93610665331849</c:v>
                </c:pt>
                <c:pt idx="20">
                  <c:v>62.522313615129043</c:v>
                </c:pt>
                <c:pt idx="21">
                  <c:v>63.227941667350194</c:v>
                </c:pt>
                <c:pt idx="22">
                  <c:v>59.948601248483101</c:v>
                </c:pt>
                <c:pt idx="23">
                  <c:v>54.67658787508821</c:v>
                </c:pt>
                <c:pt idx="24">
                  <c:v>52.495628500891144</c:v>
                </c:pt>
                <c:pt idx="25">
                  <c:v>58.276255246630484</c:v>
                </c:pt>
                <c:pt idx="26">
                  <c:v>67.642812321684517</c:v>
                </c:pt>
                <c:pt idx="27">
                  <c:v>74.666634383848816</c:v>
                </c:pt>
                <c:pt idx="28">
                  <c:v>80.871424779094298</c:v>
                </c:pt>
                <c:pt idx="29">
                  <c:v>72.445293364830349</c:v>
                </c:pt>
                <c:pt idx="30">
                  <c:v>74.842386101920837</c:v>
                </c:pt>
                <c:pt idx="31">
                  <c:v>82.932023088881053</c:v>
                </c:pt>
                <c:pt idx="32">
                  <c:v>80.510030125622592</c:v>
                </c:pt>
                <c:pt idx="33">
                  <c:v>79.092294246172415</c:v>
                </c:pt>
                <c:pt idx="34">
                  <c:v>72.113673868147316</c:v>
                </c:pt>
                <c:pt idx="35">
                  <c:v>76.566809654503516</c:v>
                </c:pt>
                <c:pt idx="36">
                  <c:v>64.488890252143932</c:v>
                </c:pt>
                <c:pt idx="37">
                  <c:v>62.110416913960641</c:v>
                </c:pt>
                <c:pt idx="38">
                  <c:v>65.736712704441302</c:v>
                </c:pt>
                <c:pt idx="39">
                  <c:v>66.967976440182824</c:v>
                </c:pt>
                <c:pt idx="40">
                  <c:v>66.304551655780969</c:v>
                </c:pt>
                <c:pt idx="41">
                  <c:v>66.190316892211555</c:v>
                </c:pt>
                <c:pt idx="42">
                  <c:v>67.70204266573711</c:v>
                </c:pt>
                <c:pt idx="43">
                  <c:v>68.997289360816538</c:v>
                </c:pt>
                <c:pt idx="44">
                  <c:v>79.795658490829922</c:v>
                </c:pt>
                <c:pt idx="45">
                  <c:v>75.054236862165283</c:v>
                </c:pt>
                <c:pt idx="46">
                  <c:v>81.808017632681</c:v>
                </c:pt>
                <c:pt idx="47">
                  <c:v>83.016360968966964</c:v>
                </c:pt>
                <c:pt idx="48">
                  <c:v>78.70619936663617</c:v>
                </c:pt>
                <c:pt idx="49">
                  <c:v>82.429139708262909</c:v>
                </c:pt>
                <c:pt idx="50">
                  <c:v>75.267129778816738</c:v>
                </c:pt>
                <c:pt idx="51">
                  <c:v>70.909135093152599</c:v>
                </c:pt>
                <c:pt idx="52">
                  <c:v>62.084825520123175</c:v>
                </c:pt>
                <c:pt idx="53">
                  <c:v>65.204890050983167</c:v>
                </c:pt>
                <c:pt idx="54">
                  <c:v>62.860389397119739</c:v>
                </c:pt>
                <c:pt idx="55">
                  <c:v>62.677965800785984</c:v>
                </c:pt>
                <c:pt idx="56">
                  <c:v>66.591613717909809</c:v>
                </c:pt>
                <c:pt idx="57">
                  <c:v>67.613230358293748</c:v>
                </c:pt>
                <c:pt idx="58">
                  <c:v>63.54589075374232</c:v>
                </c:pt>
                <c:pt idx="59">
                  <c:v>65.09385927014182</c:v>
                </c:pt>
                <c:pt idx="60">
                  <c:v>71.263600465367034</c:v>
                </c:pt>
                <c:pt idx="61">
                  <c:v>73.387979188400749</c:v>
                </c:pt>
                <c:pt idx="62">
                  <c:v>84.779105161951591</c:v>
                </c:pt>
                <c:pt idx="63">
                  <c:v>79.992979942161867</c:v>
                </c:pt>
                <c:pt idx="64">
                  <c:v>82.470841994164687</c:v>
                </c:pt>
                <c:pt idx="65">
                  <c:v>73.901751422506209</c:v>
                </c:pt>
                <c:pt idx="66">
                  <c:v>55.535922309885542</c:v>
                </c:pt>
                <c:pt idx="67">
                  <c:v>51.806551327562232</c:v>
                </c:pt>
                <c:pt idx="68">
                  <c:v>53.839006231464651</c:v>
                </c:pt>
                <c:pt idx="69">
                  <c:v>55.963260107469615</c:v>
                </c:pt>
                <c:pt idx="70">
                  <c:v>57.525330372651304</c:v>
                </c:pt>
                <c:pt idx="71">
                  <c:v>59.255939777236854</c:v>
                </c:pt>
                <c:pt idx="72">
                  <c:v>59.090753046881304</c:v>
                </c:pt>
                <c:pt idx="73">
                  <c:v>58.669507669715685</c:v>
                </c:pt>
                <c:pt idx="74">
                  <c:v>56.812436882732364</c:v>
                </c:pt>
                <c:pt idx="75">
                  <c:v>62.367313290731083</c:v>
                </c:pt>
                <c:pt idx="76">
                  <c:v>91.177865475840008</c:v>
                </c:pt>
                <c:pt idx="77">
                  <c:v>94.947520788867763</c:v>
                </c:pt>
                <c:pt idx="78">
                  <c:v>95.108368357572772</c:v>
                </c:pt>
                <c:pt idx="79">
                  <c:v>85.307536858785184</c:v>
                </c:pt>
                <c:pt idx="80">
                  <c:v>74.039809380426789</c:v>
                </c:pt>
                <c:pt idx="81">
                  <c:v>56.396081210083452</c:v>
                </c:pt>
                <c:pt idx="82">
                  <c:v>55.197930382101511</c:v>
                </c:pt>
                <c:pt idx="83">
                  <c:v>59.756171328168548</c:v>
                </c:pt>
                <c:pt idx="84">
                  <c:v>56.812436882732364</c:v>
                </c:pt>
                <c:pt idx="85">
                  <c:v>52.206698217680739</c:v>
                </c:pt>
                <c:pt idx="86">
                  <c:v>40.397515143480234</c:v>
                </c:pt>
                <c:pt idx="87">
                  <c:v>37.570049594705416</c:v>
                </c:pt>
                <c:pt idx="88">
                  <c:v>35.667335702713935</c:v>
                </c:pt>
                <c:pt idx="89">
                  <c:v>35.520637668577358</c:v>
                </c:pt>
                <c:pt idx="90">
                  <c:v>38.040952209400189</c:v>
                </c:pt>
                <c:pt idx="91">
                  <c:v>45.026799128055742</c:v>
                </c:pt>
                <c:pt idx="92">
                  <c:v>46.866146781856401</c:v>
                </c:pt>
                <c:pt idx="93">
                  <c:v>44.076862159293398</c:v>
                </c:pt>
                <c:pt idx="94">
                  <c:v>47.58302071541798</c:v>
                </c:pt>
                <c:pt idx="95">
                  <c:v>50.763663138644446</c:v>
                </c:pt>
                <c:pt idx="96">
                  <c:v>60.409814630397065</c:v>
                </c:pt>
                <c:pt idx="97">
                  <c:v>69.119934428358192</c:v>
                </c:pt>
                <c:pt idx="98">
                  <c:v>72.712488926516045</c:v>
                </c:pt>
                <c:pt idx="99">
                  <c:v>75.948254077851487</c:v>
                </c:pt>
                <c:pt idx="100">
                  <c:v>80.19115620064882</c:v>
                </c:pt>
                <c:pt idx="101">
                  <c:v>78.476118085909675</c:v>
                </c:pt>
                <c:pt idx="102">
                  <c:v>76.347499209900064</c:v>
                </c:pt>
                <c:pt idx="103">
                  <c:v>86.381995305017469</c:v>
                </c:pt>
                <c:pt idx="104">
                  <c:v>80.911755061143751</c:v>
                </c:pt>
                <c:pt idx="105">
                  <c:v>82.638022092853149</c:v>
                </c:pt>
                <c:pt idx="106">
                  <c:v>86.156187482970566</c:v>
                </c:pt>
                <c:pt idx="107">
                  <c:v>80.590095454181665</c:v>
                </c:pt>
                <c:pt idx="108">
                  <c:v>80.911755061143808</c:v>
                </c:pt>
                <c:pt idx="109">
                  <c:v>73.558548369546216</c:v>
                </c:pt>
                <c:pt idx="110">
                  <c:v>70.272371327516566</c:v>
                </c:pt>
                <c:pt idx="111">
                  <c:v>72.578678864483479</c:v>
                </c:pt>
                <c:pt idx="112">
                  <c:v>76.713625972221095</c:v>
                </c:pt>
                <c:pt idx="113">
                  <c:v>64.488890252143932</c:v>
                </c:pt>
                <c:pt idx="114">
                  <c:v>63.947152192490265</c:v>
                </c:pt>
                <c:pt idx="115">
                  <c:v>63.70588205657819</c:v>
                </c:pt>
                <c:pt idx="116">
                  <c:v>65.596045684318028</c:v>
                </c:pt>
                <c:pt idx="117">
                  <c:v>70.462364817933306</c:v>
                </c:pt>
                <c:pt idx="118">
                  <c:v>76.420481225496971</c:v>
                </c:pt>
                <c:pt idx="119">
                  <c:v>83.911090028753833</c:v>
                </c:pt>
                <c:pt idx="120">
                  <c:v>86.745467944518879</c:v>
                </c:pt>
                <c:pt idx="121">
                  <c:v>84.691593575107433</c:v>
                </c:pt>
                <c:pt idx="122">
                  <c:v>80.111782765208446</c:v>
                </c:pt>
                <c:pt idx="123">
                  <c:v>83.954118897577175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D9-434D-BFDB-A4E49D0CD18B}"/>
            </c:ext>
          </c:extLst>
        </c:ser>
        <c:ser>
          <c:idx val="5"/>
          <c:order val="5"/>
          <c:tx>
            <c:strRef>
              <c:f>'Sem ajuste calibração'!$X$1</c:f>
              <c:strCache>
                <c:ptCount val="1"/>
                <c:pt idx="0">
                  <c:v>N0_12h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calibração'!$X$2:$X$973</c:f>
              <c:numCache>
                <c:formatCode>General</c:formatCode>
                <c:ptCount val="972"/>
                <c:pt idx="11">
                  <c:v>46.775084610680437</c:v>
                </c:pt>
                <c:pt idx="12">
                  <c:v>53.919787011126751</c:v>
                </c:pt>
                <c:pt idx="13">
                  <c:v>63.590264459453103</c:v>
                </c:pt>
                <c:pt idx="14">
                  <c:v>76.159521937945939</c:v>
                </c:pt>
                <c:pt idx="15">
                  <c:v>70.525892328652233</c:v>
                </c:pt>
                <c:pt idx="16">
                  <c:v>73.890266705689228</c:v>
                </c:pt>
                <c:pt idx="17">
                  <c:v>69.816836623703594</c:v>
                </c:pt>
                <c:pt idx="18">
                  <c:v>62.626009056212915</c:v>
                </c:pt>
                <c:pt idx="19">
                  <c:v>61.961384211301109</c:v>
                </c:pt>
                <c:pt idx="20">
                  <c:v>59.259882217786434</c:v>
                </c:pt>
                <c:pt idx="21">
                  <c:v>65.50255198035525</c:v>
                </c:pt>
                <c:pt idx="22">
                  <c:v>62.388802284620091</c:v>
                </c:pt>
                <c:pt idx="23">
                  <c:v>63.879977565634164</c:v>
                </c:pt>
                <c:pt idx="24">
                  <c:v>60.218945773596488</c:v>
                </c:pt>
                <c:pt idx="25">
                  <c:v>57.547848125122279</c:v>
                </c:pt>
                <c:pt idx="26">
                  <c:v>58.403000751376254</c:v>
                </c:pt>
                <c:pt idx="27">
                  <c:v>65.6897666975959</c:v>
                </c:pt>
                <c:pt idx="28">
                  <c:v>71.2743894482808</c:v>
                </c:pt>
                <c:pt idx="29">
                  <c:v>72.14671786783633</c:v>
                </c:pt>
                <c:pt idx="30">
                  <c:v>77.138462771630245</c:v>
                </c:pt>
                <c:pt idx="31">
                  <c:v>75.827986176654946</c:v>
                </c:pt>
                <c:pt idx="32">
                  <c:v>76.738142963512445</c:v>
                </c:pt>
                <c:pt idx="33">
                  <c:v>76.891683453258736</c:v>
                </c:pt>
                <c:pt idx="34">
                  <c:v>70.15669720042311</c:v>
                </c:pt>
                <c:pt idx="35">
                  <c:v>76.58513496283652</c:v>
                </c:pt>
                <c:pt idx="36">
                  <c:v>70.130453252322965</c:v>
                </c:pt>
                <c:pt idx="37">
                  <c:v>69.583201021466394</c:v>
                </c:pt>
                <c:pt idx="38">
                  <c:v>69.531464202799881</c:v>
                </c:pt>
                <c:pt idx="39">
                  <c:v>65.995939904431097</c:v>
                </c:pt>
                <c:pt idx="40">
                  <c:v>65.596045684317986</c:v>
                </c:pt>
                <c:pt idx="41">
                  <c:v>70.130453252322923</c:v>
                </c:pt>
                <c:pt idx="42">
                  <c:v>70.446498312546638</c:v>
                </c:pt>
                <c:pt idx="43">
                  <c:v>66.376119133659714</c:v>
                </c:pt>
                <c:pt idx="44">
                  <c:v>69.686873109178791</c:v>
                </c:pt>
                <c:pt idx="45">
                  <c:v>73.376632229601668</c:v>
                </c:pt>
                <c:pt idx="46">
                  <c:v>77.667471381560048</c:v>
                </c:pt>
                <c:pt idx="47">
                  <c:v>74.062862447970474</c:v>
                </c:pt>
                <c:pt idx="48">
                  <c:v>82.728826588926793</c:v>
                </c:pt>
                <c:pt idx="49">
                  <c:v>84.148230065844814</c:v>
                </c:pt>
                <c:pt idx="50">
                  <c:v>73.348278099695221</c:v>
                </c:pt>
                <c:pt idx="51">
                  <c:v>73.6612192983157</c:v>
                </c:pt>
                <c:pt idx="52">
                  <c:v>66.519649799728072</c:v>
                </c:pt>
                <c:pt idx="53">
                  <c:v>65.549270470389118</c:v>
                </c:pt>
                <c:pt idx="54">
                  <c:v>65.409284759741169</c:v>
                </c:pt>
                <c:pt idx="55">
                  <c:v>67.465651636530112</c:v>
                </c:pt>
                <c:pt idx="56">
                  <c:v>66.880801871271657</c:v>
                </c:pt>
                <c:pt idx="57">
                  <c:v>67.910048867714181</c:v>
                </c:pt>
                <c:pt idx="58">
                  <c:v>66.71184905008424</c:v>
                </c:pt>
                <c:pt idx="59">
                  <c:v>68.384593698879556</c:v>
                </c:pt>
                <c:pt idx="60">
                  <c:v>67.761361731963532</c:v>
                </c:pt>
                <c:pt idx="61">
                  <c:v>67.318622479661656</c:v>
                </c:pt>
                <c:pt idx="62">
                  <c:v>72.757186978263519</c:v>
                </c:pt>
                <c:pt idx="63">
                  <c:v>72.00920655798889</c:v>
                </c:pt>
                <c:pt idx="64">
                  <c:v>83.326892952775751</c:v>
                </c:pt>
                <c:pt idx="65">
                  <c:v>75.024750999242912</c:v>
                </c:pt>
                <c:pt idx="66">
                  <c:v>60.017002981794676</c:v>
                </c:pt>
                <c:pt idx="67">
                  <c:v>57.36064788335856</c:v>
                </c:pt>
                <c:pt idx="68">
                  <c:v>55.75603530785024</c:v>
                </c:pt>
                <c:pt idx="69">
                  <c:v>58.24942890183916</c:v>
                </c:pt>
                <c:pt idx="70">
                  <c:v>62.110416913960641</c:v>
                </c:pt>
                <c:pt idx="71">
                  <c:v>62.110416913960641</c:v>
                </c:pt>
                <c:pt idx="72">
                  <c:v>62.00390336953383</c:v>
                </c:pt>
                <c:pt idx="73">
                  <c:v>59.756171328168584</c:v>
                </c:pt>
                <c:pt idx="74">
                  <c:v>59.477395106170448</c:v>
                </c:pt>
                <c:pt idx="75">
                  <c:v>61.329449023156137</c:v>
                </c:pt>
                <c:pt idx="76">
                  <c:v>64.081861262228443</c:v>
                </c:pt>
                <c:pt idx="77">
                  <c:v>67.910048867714181</c:v>
                </c:pt>
                <c:pt idx="78">
                  <c:v>86.021202186437534</c:v>
                </c:pt>
                <c:pt idx="79">
                  <c:v>90.731520592921044</c:v>
                </c:pt>
                <c:pt idx="80">
                  <c:v>83.079713306382516</c:v>
                </c:pt>
                <c:pt idx="81">
                  <c:v>62.539576036674383</c:v>
                </c:pt>
                <c:pt idx="82">
                  <c:v>59.796175369259274</c:v>
                </c:pt>
                <c:pt idx="83">
                  <c:v>60.178466030489908</c:v>
                </c:pt>
                <c:pt idx="84">
                  <c:v>57.547848125122279</c:v>
                </c:pt>
                <c:pt idx="85">
                  <c:v>55.454633416821629</c:v>
                </c:pt>
                <c:pt idx="86">
                  <c:v>47.01675352665832</c:v>
                </c:pt>
                <c:pt idx="87">
                  <c:v>43.163030418562855</c:v>
                </c:pt>
                <c:pt idx="88">
                  <c:v>38.990320369959008</c:v>
                </c:pt>
                <c:pt idx="89">
                  <c:v>39.323726610806006</c:v>
                </c:pt>
                <c:pt idx="90">
                  <c:v>39.579253264100899</c:v>
                </c:pt>
                <c:pt idx="91">
                  <c:v>39.415421157646932</c:v>
                </c:pt>
                <c:pt idx="92">
                  <c:v>42.374584868511967</c:v>
                </c:pt>
                <c:pt idx="93">
                  <c:v>48.481590243077711</c:v>
                </c:pt>
                <c:pt idx="94">
                  <c:v>50.638753426018788</c:v>
                </c:pt>
                <c:pt idx="95">
                  <c:v>48.652055094291271</c:v>
                </c:pt>
                <c:pt idx="96">
                  <c:v>49.183808370521561</c:v>
                </c:pt>
                <c:pt idx="97">
                  <c:v>52.809980021617761</c:v>
                </c:pt>
                <c:pt idx="98">
                  <c:v>61.791798356475994</c:v>
                </c:pt>
                <c:pt idx="99">
                  <c:v>70.314515942670724</c:v>
                </c:pt>
                <c:pt idx="100">
                  <c:v>79.423082999835799</c:v>
                </c:pt>
                <c:pt idx="101">
                  <c:v>77.950099221670897</c:v>
                </c:pt>
                <c:pt idx="102">
                  <c:v>77.573658570649812</c:v>
                </c:pt>
                <c:pt idx="103">
                  <c:v>84.256411119191227</c:v>
                </c:pt>
                <c:pt idx="104">
                  <c:v>80.810995316280312</c:v>
                </c:pt>
                <c:pt idx="105">
                  <c:v>83.896755691886767</c:v>
                </c:pt>
                <c:pt idx="106">
                  <c:v>80.177917744732341</c:v>
                </c:pt>
                <c:pt idx="107">
                  <c:v>77.667471381560162</c:v>
                </c:pt>
                <c:pt idx="108">
                  <c:v>78.808835849171189</c:v>
                </c:pt>
                <c:pt idx="109">
                  <c:v>74.091696261860889</c:v>
                </c:pt>
                <c:pt idx="110">
                  <c:v>77.045759216624532</c:v>
                </c:pt>
                <c:pt idx="111">
                  <c:v>74.995285218989309</c:v>
                </c:pt>
                <c:pt idx="112">
                  <c:v>74.818911126885723</c:v>
                </c:pt>
                <c:pt idx="113">
                  <c:v>70.818324617913973</c:v>
                </c:pt>
                <c:pt idx="114">
                  <c:v>69.196777557273549</c:v>
                </c:pt>
                <c:pt idx="115">
                  <c:v>65.13083379813466</c:v>
                </c:pt>
                <c:pt idx="116">
                  <c:v>67.245313029653062</c:v>
                </c:pt>
                <c:pt idx="117">
                  <c:v>68.309288860827721</c:v>
                </c:pt>
                <c:pt idx="118">
                  <c:v>71.708267418999668</c:v>
                </c:pt>
                <c:pt idx="119">
                  <c:v>76.463110095522438</c:v>
                </c:pt>
                <c:pt idx="120">
                  <c:v>81.452877059725168</c:v>
                </c:pt>
                <c:pt idx="121">
                  <c:v>84.401033761864724</c:v>
                </c:pt>
                <c:pt idx="122">
                  <c:v>83.825148565764266</c:v>
                </c:pt>
                <c:pt idx="123">
                  <c:v>79.684220343321485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D9-434D-BFDB-A4E49D0CD18B}"/>
            </c:ext>
          </c:extLst>
        </c:ser>
        <c:ser>
          <c:idx val="6"/>
          <c:order val="6"/>
          <c:tx>
            <c:strRef>
              <c:f>'Sem ajuste calibração'!$AB$1</c:f>
              <c:strCache>
                <c:ptCount val="1"/>
                <c:pt idx="0">
                  <c:v>N0_24h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calibração'!$AB$2:$AB$973</c:f>
              <c:numCache>
                <c:formatCode>General</c:formatCode>
                <c:ptCount val="972"/>
                <c:pt idx="23">
                  <c:v>54.233007026605264</c:v>
                </c:pt>
                <c:pt idx="24">
                  <c:v>56.92469755844035</c:v>
                </c:pt>
                <c:pt idx="25">
                  <c:v>60.442404171961158</c:v>
                </c:pt>
                <c:pt idx="26">
                  <c:v>66.28072505193245</c:v>
                </c:pt>
                <c:pt idx="27">
                  <c:v>68.034381614649746</c:v>
                </c:pt>
                <c:pt idx="28">
                  <c:v>72.561982500267803</c:v>
                </c:pt>
                <c:pt idx="29">
                  <c:v>70.965324076376049</c:v>
                </c:pt>
                <c:pt idx="30">
                  <c:v>69.235254080364854</c:v>
                </c:pt>
                <c:pt idx="31">
                  <c:v>68.296751855469296</c:v>
                </c:pt>
                <c:pt idx="32">
                  <c:v>67.038341543486197</c:v>
                </c:pt>
                <c:pt idx="33">
                  <c:v>70.804987013560122</c:v>
                </c:pt>
                <c:pt idx="34">
                  <c:v>66.078786588258794</c:v>
                </c:pt>
                <c:pt idx="35">
                  <c:v>69.738808632123295</c:v>
                </c:pt>
                <c:pt idx="36">
                  <c:v>64.854391832835461</c:v>
                </c:pt>
                <c:pt idx="37">
                  <c:v>63.083113639103928</c:v>
                </c:pt>
                <c:pt idx="38">
                  <c:v>63.556979262796375</c:v>
                </c:pt>
                <c:pt idx="39">
                  <c:v>65.842550292950747</c:v>
                </c:pt>
                <c:pt idx="40">
                  <c:v>68.334374693522562</c:v>
                </c:pt>
                <c:pt idx="41">
                  <c:v>71.126287058803825</c:v>
                </c:pt>
                <c:pt idx="42">
                  <c:v>73.661219298315856</c:v>
                </c:pt>
                <c:pt idx="43">
                  <c:v>70.83166654571221</c:v>
                </c:pt>
                <c:pt idx="44">
                  <c:v>73.06577525829681</c:v>
                </c:pt>
                <c:pt idx="45">
                  <c:v>75.098503356488152</c:v>
                </c:pt>
                <c:pt idx="46">
                  <c:v>73.746967934013895</c:v>
                </c:pt>
                <c:pt idx="47">
                  <c:v>75.305680444513371</c:v>
                </c:pt>
                <c:pt idx="48">
                  <c:v>75.978372831189219</c:v>
                </c:pt>
                <c:pt idx="49">
                  <c:v>76.265539135423055</c:v>
                </c:pt>
                <c:pt idx="50">
                  <c:v>71.395959615935013</c:v>
                </c:pt>
                <c:pt idx="51">
                  <c:v>69.647965023834175</c:v>
                </c:pt>
                <c:pt idx="52">
                  <c:v>66.055098037812456</c:v>
                </c:pt>
                <c:pt idx="53">
                  <c:v>67.773731056521243</c:v>
                </c:pt>
                <c:pt idx="54">
                  <c:v>67.848028153502597</c:v>
                </c:pt>
                <c:pt idx="55">
                  <c:v>66.917101058161506</c:v>
                </c:pt>
                <c:pt idx="56">
                  <c:v>68.259164461075741</c:v>
                </c:pt>
                <c:pt idx="57">
                  <c:v>70.552391198860192</c:v>
                </c:pt>
                <c:pt idx="58">
                  <c:v>71.831116339671766</c:v>
                </c:pt>
                <c:pt idx="59">
                  <c:v>71.126287058803783</c:v>
                </c:pt>
                <c:pt idx="60">
                  <c:v>74.599452448909148</c:v>
                </c:pt>
                <c:pt idx="61">
                  <c:v>74.921708495500908</c:v>
                </c:pt>
                <c:pt idx="62">
                  <c:v>73.051699489238317</c:v>
                </c:pt>
                <c:pt idx="63">
                  <c:v>72.827122754429396</c:v>
                </c:pt>
                <c:pt idx="64">
                  <c:v>74.10612045756055</c:v>
                </c:pt>
                <c:pt idx="65">
                  <c:v>70.012563941718867</c:v>
                </c:pt>
                <c:pt idx="66">
                  <c:v>62.615193894334496</c:v>
                </c:pt>
                <c:pt idx="67">
                  <c:v>62.067774474277073</c:v>
                </c:pt>
                <c:pt idx="68">
                  <c:v>60.893524608450925</c:v>
                </c:pt>
                <c:pt idx="69">
                  <c:v>62.766893936803449</c:v>
                </c:pt>
                <c:pt idx="70">
                  <c:v>64.341402835495799</c:v>
                </c:pt>
                <c:pt idx="71">
                  <c:v>65.119275423991866</c:v>
                </c:pt>
                <c:pt idx="72">
                  <c:v>64.774138231791156</c:v>
                </c:pt>
                <c:pt idx="73">
                  <c:v>63.34685635420788</c:v>
                </c:pt>
                <c:pt idx="74">
                  <c:v>65.549270470389203</c:v>
                </c:pt>
                <c:pt idx="75">
                  <c:v>66.304551655780969</c:v>
                </c:pt>
                <c:pt idx="76">
                  <c:v>72.617662852485367</c:v>
                </c:pt>
                <c:pt idx="77">
                  <c:v>71.314873198697924</c:v>
                </c:pt>
                <c:pt idx="78">
                  <c:v>71.01890867646739</c:v>
                </c:pt>
                <c:pt idx="79">
                  <c:v>70.791653730549868</c:v>
                </c:pt>
                <c:pt idx="80">
                  <c:v>67.111265953398643</c:v>
                </c:pt>
                <c:pt idx="81">
                  <c:v>60.330501183322497</c:v>
                </c:pt>
                <c:pt idx="82">
                  <c:v>60.934816257973047</c:v>
                </c:pt>
                <c:pt idx="83">
                  <c:v>61.131596600200268</c:v>
                </c:pt>
                <c:pt idx="84">
                  <c:v>59.706229362302764</c:v>
                </c:pt>
                <c:pt idx="85">
                  <c:v>57.53846394305431</c:v>
                </c:pt>
                <c:pt idx="86">
                  <c:v>52.647558468739597</c:v>
                </c:pt>
                <c:pt idx="87">
                  <c:v>50.951972143813194</c:v>
                </c:pt>
                <c:pt idx="88">
                  <c:v>49.039166370916632</c:v>
                </c:pt>
                <c:pt idx="89">
                  <c:v>50.479537934367968</c:v>
                </c:pt>
                <c:pt idx="90">
                  <c:v>55.543000238430061</c:v>
                </c:pt>
                <c:pt idx="91">
                  <c:v>56.476034873134175</c:v>
                </c:pt>
                <c:pt idx="92">
                  <c:v>57.146618575654543</c:v>
                </c:pt>
                <c:pt idx="93">
                  <c:v>54.773285554506437</c:v>
                </c:pt>
                <c:pt idx="94">
                  <c:v>54.903234917383557</c:v>
                </c:pt>
                <c:pt idx="95">
                  <c:v>53.911363028130012</c:v>
                </c:pt>
                <c:pt idx="96">
                  <c:v>53.096205694212998</c:v>
                </c:pt>
                <c:pt idx="97">
                  <c:v>54.10566514614996</c:v>
                </c:pt>
                <c:pt idx="98">
                  <c:v>53.576173566553273</c:v>
                </c:pt>
                <c:pt idx="99">
                  <c:v>54.03795100942034</c:v>
                </c:pt>
                <c:pt idx="100">
                  <c:v>53.426456478546804</c:v>
                </c:pt>
                <c:pt idx="101">
                  <c:v>53.318755190736631</c:v>
                </c:pt>
                <c:pt idx="102">
                  <c:v>53.426456478546804</c:v>
                </c:pt>
                <c:pt idx="103">
                  <c:v>54.981449437082176</c:v>
                </c:pt>
                <c:pt idx="104">
                  <c:v>56.539768972796708</c:v>
                </c:pt>
                <c:pt idx="105">
                  <c:v>62.153108816395566</c:v>
                </c:pt>
                <c:pt idx="106">
                  <c:v>62.571964787572618</c:v>
                </c:pt>
                <c:pt idx="107">
                  <c:v>60.340659795149719</c:v>
                </c:pt>
                <c:pt idx="108">
                  <c:v>61.090080359970777</c:v>
                </c:pt>
                <c:pt idx="109">
                  <c:v>61.940143073614294</c:v>
                </c:pt>
                <c:pt idx="110">
                  <c:v>68.699899543028948</c:v>
                </c:pt>
                <c:pt idx="111">
                  <c:v>72.589813459144594</c:v>
                </c:pt>
                <c:pt idx="112">
                  <c:v>77.061196340794709</c:v>
                </c:pt>
                <c:pt idx="113">
                  <c:v>74.236157324361429</c:v>
                </c:pt>
                <c:pt idx="114">
                  <c:v>73.178550351040812</c:v>
                </c:pt>
                <c:pt idx="115">
                  <c:v>73.632674741680901</c:v>
                </c:pt>
                <c:pt idx="116">
                  <c:v>73.490238507414148</c:v>
                </c:pt>
                <c:pt idx="117">
                  <c:v>75.409641169473446</c:v>
                </c:pt>
                <c:pt idx="118">
                  <c:v>75.738002120966883</c:v>
                </c:pt>
                <c:pt idx="119">
                  <c:v>77.061196340794538</c:v>
                </c:pt>
                <c:pt idx="120">
                  <c:v>80.111782765208346</c:v>
                </c:pt>
                <c:pt idx="121">
                  <c:v>78.953564193683576</c:v>
                </c:pt>
                <c:pt idx="122">
                  <c:v>80.310474576898315</c:v>
                </c:pt>
                <c:pt idx="123">
                  <c:v>77.277882638814958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D9-434D-BFDB-A4E49D0C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037472"/>
        <c:axId val="1197044192"/>
      </c:scatterChart>
      <c:valAx>
        <c:axId val="119703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97044192"/>
        <c:crosses val="autoZero"/>
        <c:crossBetween val="midCat"/>
      </c:valAx>
      <c:valAx>
        <c:axId val="11970441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9703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'Sem ajuste calibração'!$D$1</c:f>
              <c:strCache>
                <c:ptCount val="1"/>
                <c:pt idx="0">
                  <c:v>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calibração'!$D$2:$D$973</c:f>
              <c:numCache>
                <c:formatCode>General</c:formatCode>
                <c:ptCount val="972"/>
                <c:pt idx="0">
                  <c:v>26.599590565550436</c:v>
                </c:pt>
                <c:pt idx="1">
                  <c:v>24.280911667084847</c:v>
                </c:pt>
                <c:pt idx="2">
                  <c:v>22.228264536207732</c:v>
                </c:pt>
                <c:pt idx="3">
                  <c:v>58.230279852566269</c:v>
                </c:pt>
                <c:pt idx="4">
                  <c:v>25.084925134358066</c:v>
                </c:pt>
                <c:pt idx="5">
                  <c:v>81.113935885185626</c:v>
                </c:pt>
                <c:pt idx="6">
                  <c:v>207.74921913933025</c:v>
                </c:pt>
                <c:pt idx="7">
                  <c:v>238.87143235729633</c:v>
                </c:pt>
                <c:pt idx="8">
                  <c:v>115.59306442639638</c:v>
                </c:pt>
                <c:pt idx="9">
                  <c:v>20.591807704519404</c:v>
                </c:pt>
                <c:pt idx="10">
                  <c:v>288.56422830176155</c:v>
                </c:pt>
                <c:pt idx="11">
                  <c:v>42.011368738184714</c:v>
                </c:pt>
                <c:pt idx="12">
                  <c:v>254.61066123384813</c:v>
                </c:pt>
                <c:pt idx="13">
                  <c:v>219.7251572090619</c:v>
                </c:pt>
                <c:pt idx="14">
                  <c:v>136.99259740796663</c:v>
                </c:pt>
                <c:pt idx="15">
                  <c:v>30.617755872645869</c:v>
                </c:pt>
                <c:pt idx="16">
                  <c:v>34.86147570580782</c:v>
                </c:pt>
                <c:pt idx="17">
                  <c:v>44.562651516093688</c:v>
                </c:pt>
                <c:pt idx="18">
                  <c:v>41.47563545985922</c:v>
                </c:pt>
                <c:pt idx="19">
                  <c:v>171.69391948383702</c:v>
                </c:pt>
                <c:pt idx="20">
                  <c:v>59.39814495991159</c:v>
                </c:pt>
                <c:pt idx="21">
                  <c:v>45.931749684677193</c:v>
                </c:pt>
                <c:pt idx="22">
                  <c:v>89.511791725837142</c:v>
                </c:pt>
                <c:pt idx="23">
                  <c:v>53.120857920173691</c:v>
                </c:pt>
                <c:pt idx="24">
                  <c:v>72.645530698612006</c:v>
                </c:pt>
                <c:pt idx="25">
                  <c:v>81.113935885185626</c:v>
                </c:pt>
                <c:pt idx="26">
                  <c:v>205.50137118564371</c:v>
                </c:pt>
                <c:pt idx="27">
                  <c:v>121.16950929220532</c:v>
                </c:pt>
                <c:pt idx="28">
                  <c:v>78.744660696808253</c:v>
                </c:pt>
                <c:pt idx="29">
                  <c:v>49.754578376229077</c:v>
                </c:pt>
                <c:pt idx="30">
                  <c:v>81.113935885185626</c:v>
                </c:pt>
                <c:pt idx="31">
                  <c:v>122.00634349611492</c:v>
                </c:pt>
                <c:pt idx="32">
                  <c:v>67.318622479661656</c:v>
                </c:pt>
                <c:pt idx="33">
                  <c:v>46.721651239538318</c:v>
                </c:pt>
                <c:pt idx="34">
                  <c:v>35.899719689406325</c:v>
                </c:pt>
                <c:pt idx="35">
                  <c:v>199.026127266006</c:v>
                </c:pt>
                <c:pt idx="36">
                  <c:v>32.637845251095499</c:v>
                </c:pt>
                <c:pt idx="37">
                  <c:v>73.319942907585315</c:v>
                </c:pt>
                <c:pt idx="38">
                  <c:v>201.14117298346326</c:v>
                </c:pt>
                <c:pt idx="39">
                  <c:v>58.460764686851178</c:v>
                </c:pt>
                <c:pt idx="40">
                  <c:v>72.645530698612006</c:v>
                </c:pt>
                <c:pt idx="41">
                  <c:v>118.72078945267329</c:v>
                </c:pt>
                <c:pt idx="42">
                  <c:v>86.246385474330012</c:v>
                </c:pt>
                <c:pt idx="43">
                  <c:v>54.532069284823677</c:v>
                </c:pt>
                <c:pt idx="44">
                  <c:v>144.66168557166648</c:v>
                </c:pt>
                <c:pt idx="45">
                  <c:v>81.520963215934373</c:v>
                </c:pt>
                <c:pt idx="46">
                  <c:v>58.460764686851178</c:v>
                </c:pt>
                <c:pt idx="47">
                  <c:v>84.473509026652835</c:v>
                </c:pt>
                <c:pt idx="48">
                  <c:v>90.979009731176404</c:v>
                </c:pt>
                <c:pt idx="49">
                  <c:v>89.511791725837142</c:v>
                </c:pt>
                <c:pt idx="50">
                  <c:v>36.874716314656489</c:v>
                </c:pt>
                <c:pt idx="51">
                  <c:v>61.100454969887139</c:v>
                </c:pt>
                <c:pt idx="52">
                  <c:v>28.851264771116412</c:v>
                </c:pt>
                <c:pt idx="53">
                  <c:v>92.489479288955479</c:v>
                </c:pt>
                <c:pt idx="54">
                  <c:v>83.610970738815851</c:v>
                </c:pt>
                <c:pt idx="55">
                  <c:v>78.744660696808253</c:v>
                </c:pt>
                <c:pt idx="56">
                  <c:v>121.16950929220532</c:v>
                </c:pt>
                <c:pt idx="57">
                  <c:v>102.57806920806232</c:v>
                </c:pt>
                <c:pt idx="58">
                  <c:v>48.709092228000429</c:v>
                </c:pt>
                <c:pt idx="59">
                  <c:v>127.25776459931619</c:v>
                </c:pt>
                <c:pt idx="60">
                  <c:v>79.913949094888125</c:v>
                </c:pt>
                <c:pt idx="61">
                  <c:v>81.520963215934373</c:v>
                </c:pt>
                <c:pt idx="62">
                  <c:v>80.710455055801347</c:v>
                </c:pt>
                <c:pt idx="63">
                  <c:v>54.946664692895119</c:v>
                </c:pt>
                <c:pt idx="64">
                  <c:v>119.52692350414497</c:v>
                </c:pt>
                <c:pt idx="65">
                  <c:v>34.458802855664779</c:v>
                </c:pt>
                <c:pt idx="66">
                  <c:v>13.741268112706894</c:v>
                </c:pt>
                <c:pt idx="67">
                  <c:v>45.468013720575861</c:v>
                </c:pt>
                <c:pt idx="68">
                  <c:v>74.005253061520705</c:v>
                </c:pt>
                <c:pt idx="69">
                  <c:v>407.31362839144907</c:v>
                </c:pt>
                <c:pt idx="70">
                  <c:v>120.34310050024175</c:v>
                </c:pt>
                <c:pt idx="71">
                  <c:v>127.25776459931619</c:v>
                </c:pt>
                <c:pt idx="72">
                  <c:v>77.98161294972266</c:v>
                </c:pt>
                <c:pt idx="73">
                  <c:v>51.392706038208388</c:v>
                </c:pt>
                <c:pt idx="74">
                  <c:v>75.409641169473502</c:v>
                </c:pt>
                <c:pt idx="75">
                  <c:v>81.520963215934373</c:v>
                </c:pt>
                <c:pt idx="76">
                  <c:v>601.33576920793689</c:v>
                </c:pt>
                <c:pt idx="77">
                  <c:v>59.39814495991159</c:v>
                </c:pt>
                <c:pt idx="78">
                  <c:v>75.05423686216534</c:v>
                </c:pt>
                <c:pt idx="79">
                  <c:v>72.645530698612006</c:v>
                </c:pt>
                <c:pt idx="80">
                  <c:v>35.688367320997024</c:v>
                </c:pt>
                <c:pt idx="81">
                  <c:v>15.105596860219245</c:v>
                </c:pt>
                <c:pt idx="82">
                  <c:v>60.852280008925497</c:v>
                </c:pt>
                <c:pt idx="83">
                  <c:v>147.00053145340991</c:v>
                </c:pt>
                <c:pt idx="84">
                  <c:v>45.468013720575861</c:v>
                </c:pt>
                <c:pt idx="85">
                  <c:v>35.374849314361022</c:v>
                </c:pt>
                <c:pt idx="86">
                  <c:v>15.273872246351367</c:v>
                </c:pt>
                <c:pt idx="87">
                  <c:v>28.170597603697146</c:v>
                </c:pt>
                <c:pt idx="88">
                  <c:v>39.070743802859212</c:v>
                </c:pt>
                <c:pt idx="89">
                  <c:v>68.209102983284893</c:v>
                </c:pt>
                <c:pt idx="90">
                  <c:v>84.910671505827821</c:v>
                </c:pt>
                <c:pt idx="91">
                  <c:v>67.613230358293748</c:v>
                </c:pt>
                <c:pt idx="92">
                  <c:v>109.76769643979594</c:v>
                </c:pt>
                <c:pt idx="93">
                  <c:v>55.578412312499417</c:v>
                </c:pt>
                <c:pt idx="94">
                  <c:v>133.93168091890101</c:v>
                </c:pt>
                <c:pt idx="95">
                  <c:v>67.318622479661656</c:v>
                </c:pt>
                <c:pt idx="96">
                  <c:v>51.768704107188967</c:v>
                </c:pt>
                <c:pt idx="97">
                  <c:v>86.699886308483428</c:v>
                </c:pt>
                <c:pt idx="98">
                  <c:v>57.547848125122279</c:v>
                </c:pt>
                <c:pt idx="99">
                  <c:v>111.17339403956458</c:v>
                </c:pt>
                <c:pt idx="100">
                  <c:v>185.3222154315398</c:v>
                </c:pt>
                <c:pt idx="101">
                  <c:v>56.43966896790463</c:v>
                </c:pt>
                <c:pt idx="102">
                  <c:v>79.913949094888125</c:v>
                </c:pt>
                <c:pt idx="103">
                  <c:v>297.32044837040246</c:v>
                </c:pt>
                <c:pt idx="104">
                  <c:v>65.877893976093176</c:v>
                </c:pt>
                <c:pt idx="105">
                  <c:v>81.931584013822928</c:v>
                </c:pt>
                <c:pt idx="106">
                  <c:v>71.981758533112696</c:v>
                </c:pt>
                <c:pt idx="107">
                  <c:v>49.577816559439235</c:v>
                </c:pt>
                <c:pt idx="108">
                  <c:v>59.39814495991159</c:v>
                </c:pt>
                <c:pt idx="109">
                  <c:v>45.621758026789458</c:v>
                </c:pt>
                <c:pt idx="110">
                  <c:v>90.485223958532274</c:v>
                </c:pt>
                <c:pt idx="111">
                  <c:v>76.493584606035881</c:v>
                </c:pt>
                <c:pt idx="112">
                  <c:v>174.9209431437973</c:v>
                </c:pt>
                <c:pt idx="113">
                  <c:v>35.065469818851746</c:v>
                </c:pt>
                <c:pt idx="114">
                  <c:v>60.605795973690448</c:v>
                </c:pt>
                <c:pt idx="115">
                  <c:v>78.361517021517685</c:v>
                </c:pt>
                <c:pt idx="116">
                  <c:v>103.19625325270299</c:v>
                </c:pt>
                <c:pt idx="117">
                  <c:v>103.82117362556215</c:v>
                </c:pt>
                <c:pt idx="118">
                  <c:v>159.83069836746574</c:v>
                </c:pt>
                <c:pt idx="119">
                  <c:v>105.09166864128083</c:v>
                </c:pt>
                <c:pt idx="120">
                  <c:v>135.95807533003583</c:v>
                </c:pt>
                <c:pt idx="121">
                  <c:v>62.367313290731083</c:v>
                </c:pt>
                <c:pt idx="122">
                  <c:v>83.185489474233663</c:v>
                </c:pt>
                <c:pt idx="123">
                  <c:v>47.043729415085778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A-4B21-9AF2-A61E0ABE7531}"/>
            </c:ext>
          </c:extLst>
        </c:ser>
        <c:ser>
          <c:idx val="1"/>
          <c:order val="1"/>
          <c:tx>
            <c:strRef>
              <c:f>'Sem ajuste calibração'!$E$1</c:f>
              <c:strCache>
                <c:ptCount val="1"/>
                <c:pt idx="0">
                  <c:v>UTS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'Sem ajuste calibração'!$A$2:$A$973</c:f>
              <c:numCache>
                <c:formatCode>m/d/yyyy\ h:mm</c:formatCode>
                <c:ptCount val="972"/>
                <c:pt idx="0">
                  <c:v>46102.828472222223</c:v>
                </c:pt>
                <c:pt idx="1">
                  <c:v>46102.870138888888</c:v>
                </c:pt>
                <c:pt idx="2">
                  <c:v>46102.911805439813</c:v>
                </c:pt>
                <c:pt idx="3">
                  <c:v>46102.953472048612</c:v>
                </c:pt>
                <c:pt idx="4">
                  <c:v>46102.99513865741</c:v>
                </c:pt>
                <c:pt idx="5">
                  <c:v>46103.036805266202</c:v>
                </c:pt>
                <c:pt idx="6">
                  <c:v>46103.078471875</c:v>
                </c:pt>
                <c:pt idx="7">
                  <c:v>46103.120138483799</c:v>
                </c:pt>
                <c:pt idx="8">
                  <c:v>46103.16180509259</c:v>
                </c:pt>
                <c:pt idx="9">
                  <c:v>46103.203471701388</c:v>
                </c:pt>
                <c:pt idx="10">
                  <c:v>46103.245138310187</c:v>
                </c:pt>
                <c:pt idx="11">
                  <c:v>46103.286804918978</c:v>
                </c:pt>
                <c:pt idx="12">
                  <c:v>46103.328471527777</c:v>
                </c:pt>
                <c:pt idx="13">
                  <c:v>46103.370138136575</c:v>
                </c:pt>
                <c:pt idx="14">
                  <c:v>46103.411804745374</c:v>
                </c:pt>
                <c:pt idx="15">
                  <c:v>46103.786804224539</c:v>
                </c:pt>
                <c:pt idx="16">
                  <c:v>46103.82916666667</c:v>
                </c:pt>
                <c:pt idx="17">
                  <c:v>46103.870833333334</c:v>
                </c:pt>
                <c:pt idx="18">
                  <c:v>46103.912499999999</c:v>
                </c:pt>
                <c:pt idx="19">
                  <c:v>46103.95416666667</c:v>
                </c:pt>
                <c:pt idx="20">
                  <c:v>46103.995833333334</c:v>
                </c:pt>
                <c:pt idx="21">
                  <c:v>46104.036805555559</c:v>
                </c:pt>
                <c:pt idx="22">
                  <c:v>46104.078472222223</c:v>
                </c:pt>
                <c:pt idx="23">
                  <c:v>46104.120138888888</c:v>
                </c:pt>
                <c:pt idx="24">
                  <c:v>46104.161805555559</c:v>
                </c:pt>
                <c:pt idx="25">
                  <c:v>46104.203472222223</c:v>
                </c:pt>
                <c:pt idx="26">
                  <c:v>46104.245138888888</c:v>
                </c:pt>
                <c:pt idx="27">
                  <c:v>46104.286805555559</c:v>
                </c:pt>
                <c:pt idx="28">
                  <c:v>46104.328472222223</c:v>
                </c:pt>
                <c:pt idx="29">
                  <c:v>46104.66249959491</c:v>
                </c:pt>
                <c:pt idx="30">
                  <c:v>46104.704166203701</c:v>
                </c:pt>
                <c:pt idx="31">
                  <c:v>46104.745832812499</c:v>
                </c:pt>
                <c:pt idx="32">
                  <c:v>46104.787499421298</c:v>
                </c:pt>
                <c:pt idx="33">
                  <c:v>46104.829166030089</c:v>
                </c:pt>
                <c:pt idx="34">
                  <c:v>46104.870832638888</c:v>
                </c:pt>
                <c:pt idx="35">
                  <c:v>46104.912499247686</c:v>
                </c:pt>
                <c:pt idx="36">
                  <c:v>46104.954165856485</c:v>
                </c:pt>
                <c:pt idx="37">
                  <c:v>46104.995832465276</c:v>
                </c:pt>
                <c:pt idx="38">
                  <c:v>46105.037499999999</c:v>
                </c:pt>
                <c:pt idx="39">
                  <c:v>46105.07916666667</c:v>
                </c:pt>
                <c:pt idx="40">
                  <c:v>46105.120833391207</c:v>
                </c:pt>
                <c:pt idx="41">
                  <c:v>46105.162500115737</c:v>
                </c:pt>
                <c:pt idx="42">
                  <c:v>46105.204166840274</c:v>
                </c:pt>
                <c:pt idx="43">
                  <c:v>46105.245833564812</c:v>
                </c:pt>
                <c:pt idx="44">
                  <c:v>46105.287500289349</c:v>
                </c:pt>
                <c:pt idx="45">
                  <c:v>46105.329861111109</c:v>
                </c:pt>
                <c:pt idx="46">
                  <c:v>46105.371527777781</c:v>
                </c:pt>
                <c:pt idx="47">
                  <c:v>46105.579167361109</c:v>
                </c:pt>
                <c:pt idx="48">
                  <c:v>46105.620834085646</c:v>
                </c:pt>
                <c:pt idx="49">
                  <c:v>46105.662500810184</c:v>
                </c:pt>
                <c:pt idx="50">
                  <c:v>46105.704167476855</c:v>
                </c:pt>
                <c:pt idx="51">
                  <c:v>46105.745834201392</c:v>
                </c:pt>
                <c:pt idx="52">
                  <c:v>46105.788194444445</c:v>
                </c:pt>
                <c:pt idx="53">
                  <c:v>46105.829861111109</c:v>
                </c:pt>
                <c:pt idx="54">
                  <c:v>46105.871527662035</c:v>
                </c:pt>
                <c:pt idx="55">
                  <c:v>46105.913194270834</c:v>
                </c:pt>
                <c:pt idx="56">
                  <c:v>46105.954860879632</c:v>
                </c:pt>
                <c:pt idx="57">
                  <c:v>46105.996527488423</c:v>
                </c:pt>
                <c:pt idx="58">
                  <c:v>46106.038194097222</c:v>
                </c:pt>
                <c:pt idx="59">
                  <c:v>46106.079860706021</c:v>
                </c:pt>
                <c:pt idx="60">
                  <c:v>46106.121527314812</c:v>
                </c:pt>
                <c:pt idx="61">
                  <c:v>46106.16319392361</c:v>
                </c:pt>
                <c:pt idx="62">
                  <c:v>46106.20416666667</c:v>
                </c:pt>
                <c:pt idx="63">
                  <c:v>46106.245833333334</c:v>
                </c:pt>
                <c:pt idx="64">
                  <c:v>46106.287499999999</c:v>
                </c:pt>
                <c:pt idx="65">
                  <c:v>46106.329861111109</c:v>
                </c:pt>
                <c:pt idx="66">
                  <c:v>46106.538194675923</c:v>
                </c:pt>
                <c:pt idx="67">
                  <c:v>46106.579861342594</c:v>
                </c:pt>
                <c:pt idx="68">
                  <c:v>46106.621528067131</c:v>
                </c:pt>
                <c:pt idx="69">
                  <c:v>46106.663194791669</c:v>
                </c:pt>
                <c:pt idx="70">
                  <c:v>46106.704861516206</c:v>
                </c:pt>
                <c:pt idx="71">
                  <c:v>46106.746528240743</c:v>
                </c:pt>
                <c:pt idx="72">
                  <c:v>46106.788888888892</c:v>
                </c:pt>
                <c:pt idx="73">
                  <c:v>46106.830555555556</c:v>
                </c:pt>
                <c:pt idx="74">
                  <c:v>46106.87222222222</c:v>
                </c:pt>
                <c:pt idx="75">
                  <c:v>46106.913194444445</c:v>
                </c:pt>
                <c:pt idx="76">
                  <c:v>46106.954861111109</c:v>
                </c:pt>
                <c:pt idx="77">
                  <c:v>46106.996527662035</c:v>
                </c:pt>
                <c:pt idx="78">
                  <c:v>46107.038194270834</c:v>
                </c:pt>
                <c:pt idx="79">
                  <c:v>46107.079860937498</c:v>
                </c:pt>
                <c:pt idx="80">
                  <c:v>46107.121527604169</c:v>
                </c:pt>
                <c:pt idx="81">
                  <c:v>46107.163194270834</c:v>
                </c:pt>
                <c:pt idx="82">
                  <c:v>46107.204860937498</c:v>
                </c:pt>
                <c:pt idx="83">
                  <c:v>46107.246527604169</c:v>
                </c:pt>
                <c:pt idx="84">
                  <c:v>46107.288194270834</c:v>
                </c:pt>
                <c:pt idx="85">
                  <c:v>46107.330555555556</c:v>
                </c:pt>
                <c:pt idx="86">
                  <c:v>46107.37222222222</c:v>
                </c:pt>
                <c:pt idx="87">
                  <c:v>46107.413888773146</c:v>
                </c:pt>
                <c:pt idx="88">
                  <c:v>46107.455555381945</c:v>
                </c:pt>
                <c:pt idx="89">
                  <c:v>46107.497221990743</c:v>
                </c:pt>
                <c:pt idx="90">
                  <c:v>46107.538888599534</c:v>
                </c:pt>
                <c:pt idx="91">
                  <c:v>46107.580555092594</c:v>
                </c:pt>
                <c:pt idx="92">
                  <c:v>46107.621527777781</c:v>
                </c:pt>
                <c:pt idx="93">
                  <c:v>46107.663194444445</c:v>
                </c:pt>
                <c:pt idx="94">
                  <c:v>46107.704861111109</c:v>
                </c:pt>
                <c:pt idx="95">
                  <c:v>46107.746527662035</c:v>
                </c:pt>
                <c:pt idx="96">
                  <c:v>46107.788194270834</c:v>
                </c:pt>
                <c:pt idx="97">
                  <c:v>46107.830555092594</c:v>
                </c:pt>
                <c:pt idx="98">
                  <c:v>46107.872221817132</c:v>
                </c:pt>
                <c:pt idx="99">
                  <c:v>46107.913888541669</c:v>
                </c:pt>
                <c:pt idx="100">
                  <c:v>46107.955555266206</c:v>
                </c:pt>
                <c:pt idx="101">
                  <c:v>46107.997221990743</c:v>
                </c:pt>
                <c:pt idx="102">
                  <c:v>46108.03888871528</c:v>
                </c:pt>
                <c:pt idx="103">
                  <c:v>46108.080555439818</c:v>
                </c:pt>
                <c:pt idx="104">
                  <c:v>46108.12222222222</c:v>
                </c:pt>
                <c:pt idx="105">
                  <c:v>46108.163888888892</c:v>
                </c:pt>
                <c:pt idx="106">
                  <c:v>46108.379166666666</c:v>
                </c:pt>
                <c:pt idx="107">
                  <c:v>46108.42083333333</c:v>
                </c:pt>
                <c:pt idx="108">
                  <c:v>46108.462499942128</c:v>
                </c:pt>
                <c:pt idx="109">
                  <c:v>46108.504166608793</c:v>
                </c:pt>
                <c:pt idx="110">
                  <c:v>46108.545833275464</c:v>
                </c:pt>
                <c:pt idx="111">
                  <c:v>46108.587499942128</c:v>
                </c:pt>
                <c:pt idx="112">
                  <c:v>46108.629166608793</c:v>
                </c:pt>
                <c:pt idx="113">
                  <c:v>46108.670833275464</c:v>
                </c:pt>
                <c:pt idx="114">
                  <c:v>46108.712499942128</c:v>
                </c:pt>
                <c:pt idx="115">
                  <c:v>46108.754166608793</c:v>
                </c:pt>
                <c:pt idx="116">
                  <c:v>46108.796527777777</c:v>
                </c:pt>
                <c:pt idx="117">
                  <c:v>46108.838194444441</c:v>
                </c:pt>
                <c:pt idx="118">
                  <c:v>46108.879861053239</c:v>
                </c:pt>
                <c:pt idx="119">
                  <c:v>46108.921527719911</c:v>
                </c:pt>
                <c:pt idx="120">
                  <c:v>46108.963194386575</c:v>
                </c:pt>
                <c:pt idx="121">
                  <c:v>46109.004861053239</c:v>
                </c:pt>
                <c:pt idx="122">
                  <c:v>46109.045833217591</c:v>
                </c:pt>
                <c:pt idx="123">
                  <c:v>46109.087499884263</c:v>
                </c:pt>
              </c:numCache>
            </c:numRef>
          </c:xVal>
          <c:yVal>
            <c:numRef>
              <c:f>'Sem ajuste calibração'!$E$2:$E$973</c:f>
              <c:numCache>
                <c:formatCode>General</c:formatCode>
                <c:ptCount val="972"/>
                <c:pt idx="0">
                  <c:v>20.38757189169413</c:v>
                </c:pt>
                <c:pt idx="1">
                  <c:v>19.190808706665923</c:v>
                </c:pt>
                <c:pt idx="2">
                  <c:v>18.00968283891229</c:v>
                </c:pt>
                <c:pt idx="3">
                  <c:v>39.267675228317621</c:v>
                </c:pt>
                <c:pt idx="4">
                  <c:v>20.103246877681922</c:v>
                </c:pt>
                <c:pt idx="5">
                  <c:v>50.261738986197301</c:v>
                </c:pt>
                <c:pt idx="6">
                  <c:v>93.319874832806647</c:v>
                </c:pt>
                <c:pt idx="7">
                  <c:v>102.1000323457788</c:v>
                </c:pt>
                <c:pt idx="8">
                  <c:v>63.639540719257411</c:v>
                </c:pt>
                <c:pt idx="9">
                  <c:v>17.042471447172868</c:v>
                </c:pt>
                <c:pt idx="10">
                  <c:v>119.92624647189949</c:v>
                </c:pt>
                <c:pt idx="11">
                  <c:v>31.09355458845361</c:v>
                </c:pt>
                <c:pt idx="12">
                  <c:v>105.369203771372</c:v>
                </c:pt>
                <c:pt idx="13">
                  <c:v>89.037579958218117</c:v>
                </c:pt>
                <c:pt idx="14">
                  <c:v>62.31840466290317</c:v>
                </c:pt>
                <c:pt idx="15">
                  <c:v>21.425946709404663</c:v>
                </c:pt>
                <c:pt idx="16">
                  <c:v>24.535731732833909</c:v>
                </c:pt>
                <c:pt idx="17">
                  <c:v>30.858929056778649</c:v>
                </c:pt>
                <c:pt idx="18">
                  <c:v>29.874376584953747</c:v>
                </c:pt>
                <c:pt idx="19">
                  <c:v>82.422541120616543</c:v>
                </c:pt>
                <c:pt idx="20">
                  <c:v>40.35351365165765</c:v>
                </c:pt>
                <c:pt idx="21">
                  <c:v>33.330891209856325</c:v>
                </c:pt>
                <c:pt idx="22">
                  <c:v>54.802499933398138</c:v>
                </c:pt>
                <c:pt idx="23">
                  <c:v>37.621684254061009</c:v>
                </c:pt>
                <c:pt idx="24">
                  <c:v>47.605601635534086</c:v>
                </c:pt>
                <c:pt idx="25">
                  <c:v>51.769494021569905</c:v>
                </c:pt>
                <c:pt idx="26">
                  <c:v>99.732988741765965</c:v>
                </c:pt>
                <c:pt idx="27">
                  <c:v>68.11732456521932</c:v>
                </c:pt>
                <c:pt idx="28">
                  <c:v>47.622375999587121</c:v>
                </c:pt>
                <c:pt idx="29">
                  <c:v>26.646613944203317</c:v>
                </c:pt>
                <c:pt idx="30">
                  <c:v>38.691103441620122</c:v>
                </c:pt>
                <c:pt idx="31">
                  <c:v>53.773021270596018</c:v>
                </c:pt>
                <c:pt idx="32">
                  <c:v>40.102049130107396</c:v>
                </c:pt>
                <c:pt idx="33">
                  <c:v>31.878095077910167</c:v>
                </c:pt>
                <c:pt idx="34">
                  <c:v>26.318936163765411</c:v>
                </c:pt>
                <c:pt idx="35">
                  <c:v>89.58971213934737</c:v>
                </c:pt>
                <c:pt idx="36">
                  <c:v>25.098667031829542</c:v>
                </c:pt>
                <c:pt idx="37">
                  <c:v>47.164171110028093</c:v>
                </c:pt>
                <c:pt idx="38">
                  <c:v>94.853093362394645</c:v>
                </c:pt>
                <c:pt idx="39">
                  <c:v>40.056722188439196</c:v>
                </c:pt>
                <c:pt idx="40">
                  <c:v>46.995975260484514</c:v>
                </c:pt>
                <c:pt idx="41">
                  <c:v>66.126576111221624</c:v>
                </c:pt>
                <c:pt idx="42">
                  <c:v>53.24922628964682</c:v>
                </c:pt>
                <c:pt idx="43">
                  <c:v>38.298203191473753</c:v>
                </c:pt>
                <c:pt idx="44">
                  <c:v>76.680760970274108</c:v>
                </c:pt>
                <c:pt idx="45">
                  <c:v>49.013339718263268</c:v>
                </c:pt>
                <c:pt idx="46">
                  <c:v>36.303743827671632</c:v>
                </c:pt>
                <c:pt idx="47">
                  <c:v>37.73071810740803</c:v>
                </c:pt>
                <c:pt idx="48">
                  <c:v>45.04172855574749</c:v>
                </c:pt>
                <c:pt idx="49">
                  <c:v>40.729100262875129</c:v>
                </c:pt>
                <c:pt idx="50">
                  <c:v>22.808407464029631</c:v>
                </c:pt>
                <c:pt idx="51">
                  <c:v>36.749670197446896</c:v>
                </c:pt>
                <c:pt idx="52">
                  <c:v>21.793700272063958</c:v>
                </c:pt>
                <c:pt idx="53">
                  <c:v>54.69144754067861</c:v>
                </c:pt>
                <c:pt idx="54">
                  <c:v>50.253402849639585</c:v>
                </c:pt>
                <c:pt idx="55">
                  <c:v>48.784243568763266</c:v>
                </c:pt>
                <c:pt idx="56">
                  <c:v>64.628688222806872</c:v>
                </c:pt>
                <c:pt idx="57">
                  <c:v>58.492058058849516</c:v>
                </c:pt>
                <c:pt idx="58">
                  <c:v>34.618030476943204</c:v>
                </c:pt>
                <c:pt idx="59">
                  <c:v>67.889747932154734</c:v>
                </c:pt>
                <c:pt idx="60">
                  <c:v>48.37325105446547</c:v>
                </c:pt>
                <c:pt idx="61">
                  <c:v>49.17880586959312</c:v>
                </c:pt>
                <c:pt idx="62">
                  <c:v>48.252708573547999</c:v>
                </c:pt>
                <c:pt idx="63">
                  <c:v>37.525217216015541</c:v>
                </c:pt>
                <c:pt idx="64">
                  <c:v>65.279347156869306</c:v>
                </c:pt>
                <c:pt idx="65">
                  <c:v>25.472467972736329</c:v>
                </c:pt>
                <c:pt idx="66">
                  <c:v>-26.551528586728502</c:v>
                </c:pt>
                <c:pt idx="67">
                  <c:v>30.46107346623657</c:v>
                </c:pt>
                <c:pt idx="68">
                  <c:v>43.34183841285202</c:v>
                </c:pt>
                <c:pt idx="69">
                  <c:v>113.3216292815233</c:v>
                </c:pt>
                <c:pt idx="70">
                  <c:v>59.770937619114704</c:v>
                </c:pt>
                <c:pt idx="71">
                  <c:v>63.460986700594709</c:v>
                </c:pt>
                <c:pt idx="72">
                  <c:v>47.133553368561046</c:v>
                </c:pt>
                <c:pt idx="73">
                  <c:v>35.341931693353104</c:v>
                </c:pt>
                <c:pt idx="74">
                  <c:v>47.633431794573113</c:v>
                </c:pt>
                <c:pt idx="75">
                  <c:v>50.4085542703288</c:v>
                </c:pt>
                <c:pt idx="76">
                  <c:v>230.948726984133</c:v>
                </c:pt>
                <c:pt idx="77">
                  <c:v>40.678742774959211</c:v>
                </c:pt>
                <c:pt idx="78">
                  <c:v>48.359209911009188</c:v>
                </c:pt>
                <c:pt idx="79">
                  <c:v>47.405266956987667</c:v>
                </c:pt>
                <c:pt idx="80">
                  <c:v>27.311536852761392</c:v>
                </c:pt>
                <c:pt idx="81">
                  <c:v>13.348862878051129</c:v>
                </c:pt>
                <c:pt idx="82">
                  <c:v>40.278045160382533</c:v>
                </c:pt>
                <c:pt idx="83">
                  <c:v>73.758615747659761</c:v>
                </c:pt>
                <c:pt idx="84">
                  <c:v>32.701409672144749</c:v>
                </c:pt>
                <c:pt idx="85">
                  <c:v>27.478485435385608</c:v>
                </c:pt>
                <c:pt idx="86">
                  <c:v>13.64902037453432</c:v>
                </c:pt>
                <c:pt idx="87">
                  <c:v>22.55346862498163</c:v>
                </c:pt>
                <c:pt idx="88">
                  <c:v>29.434909423999827</c:v>
                </c:pt>
                <c:pt idx="89">
                  <c:v>45.324306592136658</c:v>
                </c:pt>
                <c:pt idx="90">
                  <c:v>53.260363750149423</c:v>
                </c:pt>
                <c:pt idx="91">
                  <c:v>44.544345413307965</c:v>
                </c:pt>
                <c:pt idx="92">
                  <c:v>62.554458888271448</c:v>
                </c:pt>
                <c:pt idx="93">
                  <c:v>38.639124585535875</c:v>
                </c:pt>
                <c:pt idx="94">
                  <c:v>77.219352131619118</c:v>
                </c:pt>
                <c:pt idx="95">
                  <c:v>46.587470035919729</c:v>
                </c:pt>
                <c:pt idx="96">
                  <c:v>36.443523973620358</c:v>
                </c:pt>
                <c:pt idx="97">
                  <c:v>53.703161622387988</c:v>
                </c:pt>
                <c:pt idx="98">
                  <c:v>40.025543115233752</c:v>
                </c:pt>
                <c:pt idx="99">
                  <c:v>63.875833971234428</c:v>
                </c:pt>
                <c:pt idx="100">
                  <c:v>93.989879115291544</c:v>
                </c:pt>
                <c:pt idx="101">
                  <c:v>41.325530608696447</c:v>
                </c:pt>
                <c:pt idx="102">
                  <c:v>54.412613712164202</c:v>
                </c:pt>
                <c:pt idx="103">
                  <c:v>173.40289618977721</c:v>
                </c:pt>
                <c:pt idx="104">
                  <c:v>47.669749080623816</c:v>
                </c:pt>
                <c:pt idx="105">
                  <c:v>55.931768677742866</c:v>
                </c:pt>
                <c:pt idx="106">
                  <c:v>50.054085916856209</c:v>
                </c:pt>
                <c:pt idx="107">
                  <c:v>37.076759083943081</c:v>
                </c:pt>
                <c:pt idx="108">
                  <c:v>42.183986699061933</c:v>
                </c:pt>
                <c:pt idx="109">
                  <c:v>34.317135561014609</c:v>
                </c:pt>
                <c:pt idx="110">
                  <c:v>56.876985901113819</c:v>
                </c:pt>
                <c:pt idx="111">
                  <c:v>49.811266649598252</c:v>
                </c:pt>
                <c:pt idx="112">
                  <c:v>89.620223717633394</c:v>
                </c:pt>
                <c:pt idx="113">
                  <c:v>27.498371265534782</c:v>
                </c:pt>
                <c:pt idx="114">
                  <c:v>39.769704132881351</c:v>
                </c:pt>
                <c:pt idx="115">
                  <c:v>48.268417181590202</c:v>
                </c:pt>
                <c:pt idx="116">
                  <c:v>59.737458843265614</c:v>
                </c:pt>
                <c:pt idx="117">
                  <c:v>61.242131725045589</c:v>
                </c:pt>
                <c:pt idx="118">
                  <c:v>82.656272536185398</c:v>
                </c:pt>
                <c:pt idx="119">
                  <c:v>62.142967676837216</c:v>
                </c:pt>
                <c:pt idx="120">
                  <c:v>74.744962425263211</c:v>
                </c:pt>
                <c:pt idx="121">
                  <c:v>42.983666321671734</c:v>
                </c:pt>
                <c:pt idx="122">
                  <c:v>53.454301050579858</c:v>
                </c:pt>
                <c:pt idx="123">
                  <c:v>35.020904029405067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A-4B21-9AF2-A61E0ABE7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052352"/>
        <c:axId val="1197053792"/>
      </c:scatterChart>
      <c:valAx>
        <c:axId val="119705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97053792"/>
        <c:crosses val="autoZero"/>
        <c:crossBetween val="midCat"/>
      </c:valAx>
      <c:valAx>
        <c:axId val="11970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9705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239941</xdr:colOff>
      <xdr:row>9</xdr:row>
      <xdr:rowOff>79667</xdr:rowOff>
    </xdr:from>
    <xdr:to>
      <xdr:col>50</xdr:col>
      <xdr:colOff>550930</xdr:colOff>
      <xdr:row>33</xdr:row>
      <xdr:rowOff>120335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F926AA-5035-89E1-C1FF-488DCA1C4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271115</xdr:colOff>
      <xdr:row>34</xdr:row>
      <xdr:rowOff>114607</xdr:rowOff>
    </xdr:from>
    <xdr:to>
      <xdr:col>60</xdr:col>
      <xdr:colOff>388190</xdr:colOff>
      <xdr:row>70</xdr:row>
      <xdr:rowOff>47445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2AE9B2-3894-8186-A91A-4C5E83276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261326</xdr:colOff>
      <xdr:row>70</xdr:row>
      <xdr:rowOff>117033</xdr:rowOff>
    </xdr:from>
    <xdr:to>
      <xdr:col>60</xdr:col>
      <xdr:colOff>313687</xdr:colOff>
      <xdr:row>123</xdr:row>
      <xdr:rowOff>125474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668991-EAF2-8D81-FA50-E49D897B6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620933</xdr:colOff>
      <xdr:row>3</xdr:row>
      <xdr:rowOff>31647</xdr:rowOff>
    </xdr:from>
    <xdr:to>
      <xdr:col>84</xdr:col>
      <xdr:colOff>92144</xdr:colOff>
      <xdr:row>50</xdr:row>
      <xdr:rowOff>96624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DA457EB-9A22-8832-AC02-ABD70FAB4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258792</xdr:colOff>
      <xdr:row>4</xdr:row>
      <xdr:rowOff>8626</xdr:rowOff>
    </xdr:from>
    <xdr:ext cx="109838" cy="17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8F199C8-7104-4A59-8A17-38F7A889EF91}"/>
                </a:ext>
              </a:extLst>
            </xdr:cNvPr>
            <xdr:cNvSpPr txBox="1"/>
          </xdr:nvSpPr>
          <xdr:spPr>
            <a:xfrm>
              <a:off x="1121434" y="560717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PT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8F199C8-7104-4A59-8A17-38F7A889EF91}"/>
                </a:ext>
              </a:extLst>
            </xdr:cNvPr>
            <xdr:cNvSpPr txBox="1"/>
          </xdr:nvSpPr>
          <xdr:spPr>
            <a:xfrm>
              <a:off x="1121434" y="560717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PT" sz="1100" i="0">
                  <a:latin typeface="Cambria Math" panose="02040503050406030204" pitchFamily="18" charset="0"/>
                </a:rPr>
                <a:t>𝜃 ̅</a:t>
              </a:r>
              <a:endParaRPr lang="pt-PT" sz="1100"/>
            </a:p>
          </xdr:txBody>
        </xdr:sp>
      </mc:Fallback>
    </mc:AlternateContent>
    <xdr:clientData/>
  </xdr:oneCellAnchor>
  <xdr:oneCellAnchor>
    <xdr:from>
      <xdr:col>5</xdr:col>
      <xdr:colOff>258792</xdr:colOff>
      <xdr:row>27</xdr:row>
      <xdr:rowOff>8626</xdr:rowOff>
    </xdr:from>
    <xdr:ext cx="109838" cy="1795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1982E26-FD63-4B1E-B6A4-A4036304E73B}"/>
                </a:ext>
              </a:extLst>
            </xdr:cNvPr>
            <xdr:cNvSpPr txBox="1"/>
          </xdr:nvSpPr>
          <xdr:spPr>
            <a:xfrm>
              <a:off x="3726611" y="1104181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PT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1982E26-FD63-4B1E-B6A4-A4036304E73B}"/>
                </a:ext>
              </a:extLst>
            </xdr:cNvPr>
            <xdr:cNvSpPr txBox="1"/>
          </xdr:nvSpPr>
          <xdr:spPr>
            <a:xfrm>
              <a:off x="3726611" y="1104181"/>
              <a:ext cx="109838" cy="179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PT" sz="1100" i="0">
                  <a:latin typeface="Cambria Math" panose="02040503050406030204" pitchFamily="18" charset="0"/>
                </a:rPr>
                <a:t>𝜃 ̅</a:t>
              </a:r>
              <a:endParaRPr lang="pt-PT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3A64-954F-43AF-82BE-A3F80CC44AE1}">
  <dimension ref="A1:AJ971"/>
  <sheetViews>
    <sheetView zoomScale="55" zoomScaleNormal="55" workbookViewId="0">
      <selection activeCell="AG2" sqref="AG2:AJ4"/>
    </sheetView>
  </sheetViews>
  <sheetFormatPr defaultRowHeight="14.3" x14ac:dyDescent="0.25"/>
  <cols>
    <col min="1" max="1" width="19.875" style="7" customWidth="1"/>
    <col min="2" max="2" width="12.375" style="7" customWidth="1"/>
    <col min="3" max="6" width="8.625" customWidth="1"/>
    <col min="7" max="7" width="9" customWidth="1"/>
    <col min="15" max="15" width="9" customWidth="1"/>
    <col min="17" max="17" width="9" customWidth="1"/>
    <col min="19" max="19" width="9" customWidth="1"/>
    <col min="21" max="21" width="9.125" customWidth="1"/>
    <col min="24" max="24" width="9.125" customWidth="1"/>
    <col min="25" max="25" width="9" customWidth="1"/>
    <col min="29" max="29" width="9" customWidth="1"/>
  </cols>
  <sheetData>
    <row r="1" spans="1:36" x14ac:dyDescent="0.25">
      <c r="A1" s="1" t="s">
        <v>0</v>
      </c>
      <c r="B1" s="3" t="s">
        <v>25</v>
      </c>
      <c r="C1" s="2" t="s">
        <v>1</v>
      </c>
      <c r="D1" s="2" t="s">
        <v>20</v>
      </c>
      <c r="E1" s="2" t="s">
        <v>24</v>
      </c>
      <c r="F1" s="2"/>
      <c r="G1" t="s">
        <v>2</v>
      </c>
      <c r="H1" s="3" t="s">
        <v>3</v>
      </c>
      <c r="I1" s="3" t="s">
        <v>4</v>
      </c>
      <c r="K1" t="s">
        <v>5</v>
      </c>
      <c r="L1" s="3" t="s">
        <v>6</v>
      </c>
      <c r="M1" s="3" t="s">
        <v>7</v>
      </c>
      <c r="O1" t="s">
        <v>8</v>
      </c>
      <c r="P1" s="3" t="s">
        <v>9</v>
      </c>
      <c r="Q1" s="3" t="s">
        <v>10</v>
      </c>
      <c r="S1" t="s">
        <v>11</v>
      </c>
      <c r="T1" s="3" t="s">
        <v>12</v>
      </c>
      <c r="U1" s="3" t="s">
        <v>13</v>
      </c>
      <c r="W1" t="s">
        <v>14</v>
      </c>
      <c r="X1" s="3" t="s">
        <v>15</v>
      </c>
      <c r="Y1" s="3" t="s">
        <v>16</v>
      </c>
      <c r="AA1" s="3" t="s">
        <v>17</v>
      </c>
      <c r="AB1" s="3" t="s">
        <v>18</v>
      </c>
      <c r="AC1" s="3" t="s">
        <v>19</v>
      </c>
    </row>
    <row r="2" spans="1:36" x14ac:dyDescent="0.25">
      <c r="A2" s="4">
        <v>46102.828472222223</v>
      </c>
      <c r="B2" s="8">
        <v>9.6223871796275127</v>
      </c>
      <c r="C2" s="2">
        <v>153</v>
      </c>
      <c r="D2" s="2">
        <f t="shared" ref="D2:D33" si="0">(($AG$4/((C2/$AJ$4)-$AH$4))-$AI$4)*100</f>
        <v>26.599590565550436</v>
      </c>
      <c r="E2" s="2">
        <v>20.38757189169413</v>
      </c>
      <c r="F2" s="2"/>
      <c r="AG2" t="s">
        <v>20</v>
      </c>
    </row>
    <row r="3" spans="1:36" x14ac:dyDescent="0.25">
      <c r="A3" s="4">
        <v>46102.870138888888</v>
      </c>
      <c r="B3" s="8">
        <v>8.9456593165160712</v>
      </c>
      <c r="C3" s="2">
        <v>156.6</v>
      </c>
      <c r="D3" s="2">
        <f t="shared" si="0"/>
        <v>24.280911667084847</v>
      </c>
      <c r="E3" s="2">
        <v>19.190808706665923</v>
      </c>
      <c r="F3" s="2"/>
      <c r="AG3" t="s">
        <v>21</v>
      </c>
      <c r="AH3" t="s">
        <v>22</v>
      </c>
      <c r="AI3" t="s">
        <v>23</v>
      </c>
      <c r="AJ3" t="s">
        <v>20</v>
      </c>
    </row>
    <row r="4" spans="1:36" x14ac:dyDescent="0.25">
      <c r="A4" s="4">
        <v>46102.911805439813</v>
      </c>
      <c r="B4" s="8">
        <v>8.4902548880576028</v>
      </c>
      <c r="C4" s="2">
        <v>160.19999999999999</v>
      </c>
      <c r="D4" s="2">
        <f t="shared" si="0"/>
        <v>22.228264536207732</v>
      </c>
      <c r="E4" s="2">
        <v>18.00968283891229</v>
      </c>
      <c r="F4" s="2"/>
      <c r="AG4">
        <v>8.0799999999999997E-2</v>
      </c>
      <c r="AH4">
        <v>0.372</v>
      </c>
      <c r="AI4">
        <v>0.115</v>
      </c>
      <c r="AJ4">
        <v>261.95231492034912</v>
      </c>
    </row>
    <row r="5" spans="1:36" x14ac:dyDescent="0.25">
      <c r="A5" s="4">
        <v>46102.953472048612</v>
      </c>
      <c r="B5" s="8">
        <v>8.3223548081764278</v>
      </c>
      <c r="C5" s="2">
        <v>127.8</v>
      </c>
      <c r="D5" s="2">
        <f t="shared" si="0"/>
        <v>58.230279852566269</v>
      </c>
      <c r="E5" s="2">
        <v>39.267675228317621</v>
      </c>
      <c r="F5" s="2"/>
      <c r="G5">
        <f t="shared" ref="G5:G68" si="1">AVERAGE(C2:C5)</f>
        <v>149.4</v>
      </c>
      <c r="H5">
        <f t="shared" ref="H5:H36" si="2">(($AG$4/((G5/$AJ$4)-$AH$4))-$AI$4)*100</f>
        <v>29.239603182023711</v>
      </c>
      <c r="I5">
        <v>22.761285961447768</v>
      </c>
    </row>
    <row r="6" spans="1:36" x14ac:dyDescent="0.25">
      <c r="A6" s="4">
        <v>46102.99513865741</v>
      </c>
      <c r="B6" s="8">
        <v>8.153436770106504</v>
      </c>
      <c r="C6" s="2">
        <v>155.30000000000001</v>
      </c>
      <c r="D6" s="2">
        <f t="shared" si="0"/>
        <v>25.084925134358066</v>
      </c>
      <c r="E6" s="2">
        <v>20.103246877681922</v>
      </c>
      <c r="F6" s="2"/>
      <c r="G6">
        <f t="shared" si="1"/>
        <v>149.97499999999999</v>
      </c>
      <c r="H6">
        <f t="shared" si="2"/>
        <v>28.793651644966616</v>
      </c>
      <c r="I6">
        <v>22.56455974898137</v>
      </c>
    </row>
    <row r="7" spans="1:36" x14ac:dyDescent="0.25">
      <c r="A7" s="4">
        <v>46103.036805266202</v>
      </c>
      <c r="B7" s="8">
        <v>8.0494984347182186</v>
      </c>
      <c r="C7" s="2">
        <v>120.3</v>
      </c>
      <c r="D7" s="2">
        <f t="shared" si="0"/>
        <v>81.113935885185626</v>
      </c>
      <c r="E7" s="2">
        <v>50.261738986197301</v>
      </c>
      <c r="F7" s="2"/>
      <c r="G7">
        <f t="shared" si="1"/>
        <v>140.9</v>
      </c>
      <c r="H7">
        <f t="shared" si="2"/>
        <v>37.20869022066757</v>
      </c>
      <c r="I7">
        <v>27.92656918176651</v>
      </c>
      <c r="K7">
        <f>AVERAGE(C2:C7)</f>
        <v>145.53333333333333</v>
      </c>
      <c r="L7">
        <f t="shared" ref="L7:L38" si="3">(($AG$4/((K7/$AJ$4)-$AH$4))-$AI$4)*100</f>
        <v>32.515462128848256</v>
      </c>
      <c r="M7">
        <v>25.018709077111168</v>
      </c>
    </row>
    <row r="8" spans="1:36" x14ac:dyDescent="0.25">
      <c r="A8" s="4">
        <v>46103.078471875</v>
      </c>
      <c r="B8" s="8">
        <v>8.2990312927260792</v>
      </c>
      <c r="C8" s="2">
        <v>107.1</v>
      </c>
      <c r="D8" s="2">
        <f t="shared" si="0"/>
        <v>207.74921913933025</v>
      </c>
      <c r="E8" s="2">
        <v>93.319874832806647</v>
      </c>
      <c r="F8" s="2"/>
      <c r="G8">
        <f t="shared" si="1"/>
        <v>127.625</v>
      </c>
      <c r="H8">
        <f t="shared" si="2"/>
        <v>58.63463071146068</v>
      </c>
      <c r="I8">
        <v>39.494659290817339</v>
      </c>
      <c r="K8">
        <f t="shared" ref="K8:K71" si="4">AVERAGE(C3:C8)</f>
        <v>137.88333333333333</v>
      </c>
      <c r="L8">
        <f t="shared" si="3"/>
        <v>40.842432087557413</v>
      </c>
      <c r="M8">
        <v>29.904934402932849</v>
      </c>
    </row>
    <row r="9" spans="1:36" x14ac:dyDescent="0.25">
      <c r="A9" s="4">
        <v>46103.120138483799</v>
      </c>
      <c r="B9" s="8">
        <v>8.3543929610980001</v>
      </c>
      <c r="C9" s="2">
        <v>105.9</v>
      </c>
      <c r="D9" s="2">
        <f t="shared" si="0"/>
        <v>238.87143235729633</v>
      </c>
      <c r="E9" s="2">
        <v>102.1000323457788</v>
      </c>
      <c r="F9" s="2"/>
      <c r="G9">
        <f t="shared" si="1"/>
        <v>122.15</v>
      </c>
      <c r="H9">
        <f t="shared" si="2"/>
        <v>74.178314421952805</v>
      </c>
      <c r="I9">
        <v>46.774782666196877</v>
      </c>
      <c r="K9">
        <f t="shared" si="4"/>
        <v>129.43333333333334</v>
      </c>
      <c r="L9">
        <f t="shared" si="3"/>
        <v>54.669691694500344</v>
      </c>
      <c r="M9">
        <v>37.425373074403687</v>
      </c>
      <c r="O9">
        <f>AVERAGE(C2:C9)</f>
        <v>135.77500000000001</v>
      </c>
      <c r="P9">
        <f t="shared" ref="P9:P40" si="5">(($AG$4/((O9/$AJ$4)-$AH$4))-$AI$4)*100</f>
        <v>43.721610939511656</v>
      </c>
      <c r="Q9">
        <v>31.514977518890642</v>
      </c>
    </row>
    <row r="10" spans="1:36" x14ac:dyDescent="0.25">
      <c r="A10" s="4">
        <v>46103.16180509259</v>
      </c>
      <c r="B10" s="8">
        <v>8.2318584438843416</v>
      </c>
      <c r="C10" s="2">
        <v>114.1</v>
      </c>
      <c r="D10" s="2">
        <f t="shared" si="0"/>
        <v>115.59306442639638</v>
      </c>
      <c r="E10" s="2">
        <v>63.639540719257411</v>
      </c>
      <c r="F10" s="2"/>
      <c r="G10">
        <f t="shared" si="1"/>
        <v>111.85</v>
      </c>
      <c r="H10">
        <f t="shared" si="2"/>
        <v>135.44620102826789</v>
      </c>
      <c r="I10">
        <v>70.678587841337162</v>
      </c>
      <c r="K10">
        <f t="shared" si="4"/>
        <v>121.75</v>
      </c>
      <c r="L10">
        <f t="shared" si="3"/>
        <v>75.588440081252458</v>
      </c>
      <c r="M10">
        <v>47.569573228413994</v>
      </c>
      <c r="O10">
        <f t="shared" ref="O10:O73" si="6">AVERAGE(C3:C10)</f>
        <v>130.91249999999999</v>
      </c>
      <c r="P10">
        <f t="shared" si="5"/>
        <v>51.745072566014208</v>
      </c>
      <c r="Q10">
        <v>36.014468430862415</v>
      </c>
    </row>
    <row r="11" spans="1:36" x14ac:dyDescent="0.25">
      <c r="A11" s="4">
        <v>46103.203471701388</v>
      </c>
      <c r="B11" s="8">
        <v>8.1048980819886705</v>
      </c>
      <c r="C11" s="2">
        <v>163.4</v>
      </c>
      <c r="D11" s="2">
        <f t="shared" si="0"/>
        <v>20.591807704519404</v>
      </c>
      <c r="E11" s="2">
        <v>17.042471447172868</v>
      </c>
      <c r="F11" s="2"/>
      <c r="G11">
        <f t="shared" si="1"/>
        <v>122.625</v>
      </c>
      <c r="H11">
        <f t="shared" si="2"/>
        <v>72.561982500267803</v>
      </c>
      <c r="I11">
        <v>46.374178095716061</v>
      </c>
      <c r="K11">
        <f t="shared" si="4"/>
        <v>127.68333333333334</v>
      </c>
      <c r="L11">
        <f t="shared" si="3"/>
        <v>58.499327042945879</v>
      </c>
      <c r="M11">
        <v>39.631845341806901</v>
      </c>
      <c r="O11">
        <f t="shared" si="6"/>
        <v>131.76250000000002</v>
      </c>
      <c r="P11">
        <f t="shared" si="5"/>
        <v>50.178516513159011</v>
      </c>
      <c r="Q11">
        <v>35.294610453189378</v>
      </c>
      <c r="S11">
        <f>AVERAGE(C2:C11)</f>
        <v>136.37</v>
      </c>
      <c r="T11">
        <f t="shared" ref="T11:T42" si="7">(($AG$4/((S11/$AJ$4)-$AH$4))-$AI$4)*100</f>
        <v>42.877476756103903</v>
      </c>
      <c r="U11">
        <v>31.231305928420177</v>
      </c>
    </row>
    <row r="12" spans="1:36" x14ac:dyDescent="0.25">
      <c r="A12" s="4">
        <v>46103.245138310187</v>
      </c>
      <c r="B12" s="8">
        <v>7.9257319850701808</v>
      </c>
      <c r="C12" s="2">
        <v>104.5</v>
      </c>
      <c r="D12" s="2">
        <f t="shared" si="0"/>
        <v>288.56422830176155</v>
      </c>
      <c r="E12" s="2">
        <v>119.92624647189949</v>
      </c>
      <c r="F12" s="2"/>
      <c r="G12">
        <f t="shared" si="1"/>
        <v>121.97499999999999</v>
      </c>
      <c r="H12">
        <f t="shared" si="2"/>
        <v>74.789585352584822</v>
      </c>
      <c r="I12">
        <v>47.629815496466023</v>
      </c>
      <c r="K12">
        <f t="shared" si="4"/>
        <v>119.21666666666665</v>
      </c>
      <c r="L12">
        <f t="shared" si="3"/>
        <v>85.72256679931877</v>
      </c>
      <c r="M12">
        <v>52.436512770523215</v>
      </c>
      <c r="O12">
        <f t="shared" si="6"/>
        <v>124.8</v>
      </c>
      <c r="P12">
        <f t="shared" si="5"/>
        <v>65.877893976093176</v>
      </c>
      <c r="Q12">
        <v>43.4674410231978</v>
      </c>
      <c r="S12">
        <f t="shared" ref="S12:S75" si="8">AVERAGE(C3:C12)</f>
        <v>131.52000000000001</v>
      </c>
      <c r="T12">
        <f t="shared" si="7"/>
        <v>50.617477447867351</v>
      </c>
      <c r="U12">
        <v>35.697004877490201</v>
      </c>
    </row>
    <row r="13" spans="1:36" x14ac:dyDescent="0.25">
      <c r="A13" s="4">
        <v>46103.286804918978</v>
      </c>
      <c r="B13" s="8">
        <v>7.6435076995885813</v>
      </c>
      <c r="C13" s="2">
        <v>137</v>
      </c>
      <c r="D13" s="2">
        <f t="shared" si="0"/>
        <v>42.011368738184714</v>
      </c>
      <c r="E13" s="2">
        <v>31.09355458845361</v>
      </c>
      <c r="F13" s="2"/>
      <c r="G13">
        <f t="shared" si="1"/>
        <v>129.75</v>
      </c>
      <c r="H13">
        <f t="shared" si="2"/>
        <v>54.02104431034477</v>
      </c>
      <c r="I13">
        <v>37.79250238926749</v>
      </c>
      <c r="K13">
        <f t="shared" si="4"/>
        <v>122</v>
      </c>
      <c r="L13">
        <f t="shared" si="3"/>
        <v>74.701727464748402</v>
      </c>
      <c r="M13">
        <v>47.981336625254521</v>
      </c>
      <c r="O13">
        <f t="shared" si="6"/>
        <v>125.95</v>
      </c>
      <c r="P13">
        <f t="shared" si="5"/>
        <v>62.756037627985975</v>
      </c>
      <c r="Q13">
        <v>42.276086706195798</v>
      </c>
      <c r="S13">
        <f t="shared" si="8"/>
        <v>129.56</v>
      </c>
      <c r="T13">
        <f t="shared" si="7"/>
        <v>54.408697659500291</v>
      </c>
      <c r="U13">
        <v>37.997864152464203</v>
      </c>
      <c r="W13">
        <f>AVERAGE(C2:C13)</f>
        <v>133.76666666666668</v>
      </c>
      <c r="X13">
        <f t="shared" ref="X13:X44" si="9">(($AG$4/((W13/$AJ$4)-$AH$4))-$AI$4)*100</f>
        <v>46.775084610680437</v>
      </c>
      <c r="Y13">
        <v>33.832639599367432</v>
      </c>
    </row>
    <row r="14" spans="1:36" x14ac:dyDescent="0.25">
      <c r="A14" s="4">
        <v>46103.328471527777</v>
      </c>
      <c r="B14" s="8">
        <v>8.5388074245418544</v>
      </c>
      <c r="C14" s="2">
        <v>105.4</v>
      </c>
      <c r="D14" s="2">
        <f t="shared" si="0"/>
        <v>254.61066123384813</v>
      </c>
      <c r="E14" s="2">
        <v>105.369203771372</v>
      </c>
      <c r="F14" s="2"/>
      <c r="G14">
        <f t="shared" si="1"/>
        <v>127.57499999999999</v>
      </c>
      <c r="H14">
        <f t="shared" si="2"/>
        <v>58.751022292040133</v>
      </c>
      <c r="I14">
        <v>39.301714415643239</v>
      </c>
      <c r="K14">
        <f t="shared" si="4"/>
        <v>121.71666666666665</v>
      </c>
      <c r="L14">
        <f t="shared" si="3"/>
        <v>75.708048630881379</v>
      </c>
      <c r="M14">
        <v>47.207219796827133</v>
      </c>
      <c r="O14">
        <f t="shared" si="6"/>
        <v>119.71249999999999</v>
      </c>
      <c r="P14">
        <f t="shared" si="5"/>
        <v>83.557576578164699</v>
      </c>
      <c r="Q14">
        <v>50.576919939152084</v>
      </c>
      <c r="S14">
        <f t="shared" si="8"/>
        <v>124.08000000000001</v>
      </c>
      <c r="T14">
        <f t="shared" si="7"/>
        <v>67.969680036523044</v>
      </c>
      <c r="U14">
        <v>43.716415890087212</v>
      </c>
      <c r="W14">
        <f t="shared" ref="W14:W77" si="10">AVERAGE(C3:C14)</f>
        <v>129.80000000000001</v>
      </c>
      <c r="X14">
        <f t="shared" si="9"/>
        <v>53.919787011126751</v>
      </c>
      <c r="Y14">
        <v>36.86017427391166</v>
      </c>
    </row>
    <row r="15" spans="1:36" x14ac:dyDescent="0.25">
      <c r="A15" s="4">
        <v>46103.370138136575</v>
      </c>
      <c r="B15" s="8">
        <v>9.9477308473479571</v>
      </c>
      <c r="C15" s="2">
        <v>106.6</v>
      </c>
      <c r="D15" s="2">
        <f t="shared" si="0"/>
        <v>219.7251572090619</v>
      </c>
      <c r="E15" s="2">
        <v>89.037579958218117</v>
      </c>
      <c r="F15" s="2"/>
      <c r="G15">
        <f t="shared" si="1"/>
        <v>113.375</v>
      </c>
      <c r="H15">
        <f t="shared" si="2"/>
        <v>121.37773279085229</v>
      </c>
      <c r="I15">
        <v>62.00917646542937</v>
      </c>
      <c r="K15">
        <f t="shared" si="4"/>
        <v>121.83333333333333</v>
      </c>
      <c r="L15">
        <f t="shared" si="3"/>
        <v>75.290849212109919</v>
      </c>
      <c r="M15">
        <v>45.224176548560763</v>
      </c>
      <c r="O15">
        <f t="shared" si="6"/>
        <v>118</v>
      </c>
      <c r="P15">
        <f t="shared" si="5"/>
        <v>91.477600330584607</v>
      </c>
      <c r="Q15">
        <v>51.623184239653916</v>
      </c>
      <c r="S15">
        <f t="shared" si="8"/>
        <v>121.96</v>
      </c>
      <c r="T15">
        <f t="shared" si="7"/>
        <v>74.842386101920837</v>
      </c>
      <c r="U15">
        <v>45.036970641284604</v>
      </c>
      <c r="W15">
        <f t="shared" si="10"/>
        <v>125.63333333333334</v>
      </c>
      <c r="X15">
        <f t="shared" si="9"/>
        <v>63.590264459453103</v>
      </c>
      <c r="Y15">
        <v>40.133849330863761</v>
      </c>
    </row>
    <row r="16" spans="1:36" x14ac:dyDescent="0.25">
      <c r="A16" s="4">
        <v>46103.411804745374</v>
      </c>
      <c r="B16" s="8">
        <v>12.107014442367495</v>
      </c>
      <c r="C16" s="2">
        <v>111.7</v>
      </c>
      <c r="D16" s="2">
        <f t="shared" si="0"/>
        <v>136.99259740796663</v>
      </c>
      <c r="E16" s="2">
        <v>62.31840466290317</v>
      </c>
      <c r="F16" s="2"/>
      <c r="G16">
        <f t="shared" si="1"/>
        <v>115.175</v>
      </c>
      <c r="H16">
        <f t="shared" si="2"/>
        <v>107.88664800178826</v>
      </c>
      <c r="I16">
        <v>53.974792657644088</v>
      </c>
      <c r="K16">
        <f t="shared" si="4"/>
        <v>121.43333333333334</v>
      </c>
      <c r="L16">
        <f t="shared" si="3"/>
        <v>76.738142963512388</v>
      </c>
      <c r="M16">
        <v>43.30119412103582</v>
      </c>
      <c r="O16">
        <f t="shared" si="6"/>
        <v>118.575</v>
      </c>
      <c r="P16">
        <f t="shared" si="5"/>
        <v>88.675155726034859</v>
      </c>
      <c r="Q16">
        <v>47.657512393023218</v>
      </c>
      <c r="S16">
        <f t="shared" si="8"/>
        <v>117.6</v>
      </c>
      <c r="T16">
        <f t="shared" si="7"/>
        <v>93.521441448084758</v>
      </c>
      <c r="U16">
        <v>49.324956062835163</v>
      </c>
      <c r="W16">
        <f t="shared" si="10"/>
        <v>121.59166666666668</v>
      </c>
      <c r="X16">
        <f t="shared" si="9"/>
        <v>76.159521937945939</v>
      </c>
      <c r="Y16">
        <v>43.080147678709352</v>
      </c>
    </row>
    <row r="17" spans="1:29" x14ac:dyDescent="0.25">
      <c r="A17" s="4">
        <v>46103.786804224539</v>
      </c>
      <c r="B17" s="8">
        <v>12.5447281398447</v>
      </c>
      <c r="C17" s="2">
        <v>147.69999999999999</v>
      </c>
      <c r="D17" s="2">
        <f t="shared" si="0"/>
        <v>30.617755872645869</v>
      </c>
      <c r="E17" s="2">
        <v>21.425946709404663</v>
      </c>
      <c r="F17" s="2"/>
      <c r="G17">
        <f t="shared" si="1"/>
        <v>117.85</v>
      </c>
      <c r="H17">
        <f t="shared" si="2"/>
        <v>92.234649818593923</v>
      </c>
      <c r="I17">
        <v>48.325556359678536</v>
      </c>
      <c r="K17">
        <f t="shared" si="4"/>
        <v>118.81666666666668</v>
      </c>
      <c r="L17">
        <f t="shared" si="3"/>
        <v>87.542327621829543</v>
      </c>
      <c r="M17">
        <v>46.724930483393699</v>
      </c>
      <c r="O17">
        <f t="shared" si="6"/>
        <v>123.80000000000001</v>
      </c>
      <c r="P17">
        <f t="shared" si="5"/>
        <v>68.814019829718632</v>
      </c>
      <c r="Q17">
        <v>39.756744125672512</v>
      </c>
      <c r="S17">
        <f t="shared" si="8"/>
        <v>120.34</v>
      </c>
      <c r="T17">
        <f t="shared" si="7"/>
        <v>80.952120575779887</v>
      </c>
      <c r="U17">
        <v>44.385104043389248</v>
      </c>
      <c r="W17">
        <f t="shared" si="10"/>
        <v>123.25</v>
      </c>
      <c r="X17">
        <f t="shared" si="9"/>
        <v>70.525892328652233</v>
      </c>
      <c r="Y17">
        <v>40.436969077615323</v>
      </c>
    </row>
    <row r="18" spans="1:29" x14ac:dyDescent="0.25">
      <c r="A18" s="4">
        <v>46103.82916666667</v>
      </c>
      <c r="B18" s="8">
        <v>11.245385358317412</v>
      </c>
      <c r="C18" s="2">
        <v>143.1</v>
      </c>
      <c r="D18" s="2">
        <f t="shared" si="0"/>
        <v>34.86147570580782</v>
      </c>
      <c r="E18" s="2">
        <v>24.535731732833909</v>
      </c>
      <c r="F18" s="2"/>
      <c r="G18">
        <f t="shared" si="1"/>
        <v>127.27500000000001</v>
      </c>
      <c r="H18">
        <f t="shared" si="2"/>
        <v>59.457565964364122</v>
      </c>
      <c r="I18">
        <v>37.001075229866323</v>
      </c>
      <c r="K18">
        <f t="shared" si="4"/>
        <v>125.25</v>
      </c>
      <c r="L18">
        <f t="shared" si="3"/>
        <v>64.625542539563071</v>
      </c>
      <c r="M18">
        <v>39.281996060494976</v>
      </c>
      <c r="O18">
        <f t="shared" si="6"/>
        <v>127.425</v>
      </c>
      <c r="P18">
        <f t="shared" si="5"/>
        <v>59.102526516305907</v>
      </c>
      <c r="Q18">
        <v>36.840650538594112</v>
      </c>
      <c r="S18">
        <f t="shared" si="8"/>
        <v>123.93999999999998</v>
      </c>
      <c r="T18">
        <f t="shared" si="7"/>
        <v>68.389619074507152</v>
      </c>
      <c r="U18">
        <v>40.882846126135959</v>
      </c>
      <c r="W18">
        <f t="shared" si="10"/>
        <v>122.23333333333333</v>
      </c>
      <c r="X18">
        <f t="shared" si="9"/>
        <v>73.890266705689228</v>
      </c>
      <c r="Y18">
        <v>43.138130220325522</v>
      </c>
    </row>
    <row r="19" spans="1:29" x14ac:dyDescent="0.25">
      <c r="A19" s="4">
        <v>46103.870833333334</v>
      </c>
      <c r="B19" s="8">
        <v>9.8010455934868936</v>
      </c>
      <c r="C19" s="2">
        <v>135.19999999999999</v>
      </c>
      <c r="D19" s="2">
        <f t="shared" si="0"/>
        <v>44.562651516093688</v>
      </c>
      <c r="E19" s="2">
        <v>30.858929056778649</v>
      </c>
      <c r="F19" s="2"/>
      <c r="G19">
        <f t="shared" si="1"/>
        <v>134.42500000000001</v>
      </c>
      <c r="H19">
        <f t="shared" si="2"/>
        <v>45.737611946779268</v>
      </c>
      <c r="I19">
        <v>31.488439475583181</v>
      </c>
      <c r="K19">
        <f t="shared" si="4"/>
        <v>124.95</v>
      </c>
      <c r="L19">
        <f t="shared" si="3"/>
        <v>65.455890111096096</v>
      </c>
      <c r="M19">
        <v>41.133153762035079</v>
      </c>
      <c r="O19">
        <f t="shared" si="6"/>
        <v>123.9</v>
      </c>
      <c r="P19">
        <f t="shared" si="5"/>
        <v>68.510418058013514</v>
      </c>
      <c r="Q19">
        <v>42.492910043569601</v>
      </c>
      <c r="S19">
        <f t="shared" si="8"/>
        <v>126.87</v>
      </c>
      <c r="T19">
        <f t="shared" si="7"/>
        <v>60.43425401758644</v>
      </c>
      <c r="U19">
        <v>38.826499297233838</v>
      </c>
      <c r="W19">
        <f t="shared" si="10"/>
        <v>123.47500000000001</v>
      </c>
      <c r="X19">
        <f t="shared" si="9"/>
        <v>69.816836623703594</v>
      </c>
      <c r="Y19">
        <v>43.065036490160352</v>
      </c>
    </row>
    <row r="20" spans="1:29" x14ac:dyDescent="0.25">
      <c r="A20" s="4">
        <v>46103.912499999999</v>
      </c>
      <c r="B20" s="8">
        <v>8.8297638119975463</v>
      </c>
      <c r="C20" s="2">
        <v>137.4</v>
      </c>
      <c r="D20" s="2">
        <f t="shared" si="0"/>
        <v>41.47563545985922</v>
      </c>
      <c r="E20" s="2">
        <v>29.874376584953747</v>
      </c>
      <c r="F20" s="2"/>
      <c r="G20">
        <f t="shared" si="1"/>
        <v>140.85</v>
      </c>
      <c r="H20">
        <f t="shared" si="2"/>
        <v>37.264801389326799</v>
      </c>
      <c r="I20">
        <v>27.426335720637663</v>
      </c>
      <c r="K20">
        <f t="shared" si="4"/>
        <v>130.28333333333333</v>
      </c>
      <c r="L20">
        <f t="shared" si="3"/>
        <v>52.956864264973767</v>
      </c>
      <c r="M20">
        <v>36.089940792775899</v>
      </c>
      <c r="O20">
        <f t="shared" si="6"/>
        <v>128.01250000000002</v>
      </c>
      <c r="P20">
        <f t="shared" si="5"/>
        <v>57.745506945386957</v>
      </c>
      <c r="Q20">
        <v>38.505876810086306</v>
      </c>
      <c r="S20">
        <f t="shared" si="8"/>
        <v>129.19999999999999</v>
      </c>
      <c r="T20">
        <f t="shared" si="7"/>
        <v>55.155920884764612</v>
      </c>
      <c r="U20">
        <v>37.211226009187001</v>
      </c>
      <c r="W20">
        <f t="shared" si="10"/>
        <v>126</v>
      </c>
      <c r="X20">
        <f t="shared" si="9"/>
        <v>62.626009056212915</v>
      </c>
      <c r="Y20">
        <v>40.874632001971598</v>
      </c>
    </row>
    <row r="21" spans="1:29" x14ac:dyDescent="0.25">
      <c r="A21" s="4">
        <v>46103.95416666667</v>
      </c>
      <c r="B21" s="8">
        <v>8.2742907039043647</v>
      </c>
      <c r="C21" s="2">
        <v>109</v>
      </c>
      <c r="D21" s="2">
        <f t="shared" si="0"/>
        <v>171.69391948383702</v>
      </c>
      <c r="E21" s="2">
        <v>82.422541120616543</v>
      </c>
      <c r="F21" s="2"/>
      <c r="G21">
        <f t="shared" si="1"/>
        <v>131.17499999999998</v>
      </c>
      <c r="H21">
        <f t="shared" si="2"/>
        <v>51.252856369535792</v>
      </c>
      <c r="I21">
        <v>35.713735096140546</v>
      </c>
      <c r="K21">
        <f t="shared" si="4"/>
        <v>130.68333333333334</v>
      </c>
      <c r="L21">
        <f t="shared" si="3"/>
        <v>52.181141735502401</v>
      </c>
      <c r="M21">
        <v>36.205147492369619</v>
      </c>
      <c r="O21">
        <f t="shared" si="6"/>
        <v>124.5125</v>
      </c>
      <c r="P21">
        <f t="shared" si="5"/>
        <v>66.699808858383179</v>
      </c>
      <c r="Q21">
        <v>43.44006135045769</v>
      </c>
      <c r="S21">
        <f t="shared" si="8"/>
        <v>123.76000000000002</v>
      </c>
      <c r="T21">
        <f t="shared" si="7"/>
        <v>68.93610665331849</v>
      </c>
      <c r="U21">
        <v>44.487303188358489</v>
      </c>
      <c r="W21">
        <f t="shared" si="10"/>
        <v>126.25833333333334</v>
      </c>
      <c r="X21">
        <f t="shared" si="9"/>
        <v>61.961384211301109</v>
      </c>
      <c r="Y21">
        <v>41.165662328255223</v>
      </c>
    </row>
    <row r="22" spans="1:29" x14ac:dyDescent="0.25">
      <c r="A22" s="4">
        <v>46103.995833333334</v>
      </c>
      <c r="B22" s="8">
        <v>7.8559875469222948</v>
      </c>
      <c r="C22" s="2">
        <v>127.3</v>
      </c>
      <c r="D22" s="2">
        <f t="shared" si="0"/>
        <v>59.39814495991159</v>
      </c>
      <c r="E22" s="2">
        <v>40.35351365165765</v>
      </c>
      <c r="F22" s="2"/>
      <c r="G22">
        <f t="shared" si="1"/>
        <v>127.22500000000001</v>
      </c>
      <c r="H22">
        <f t="shared" si="2"/>
        <v>59.576707285832867</v>
      </c>
      <c r="I22">
        <v>40.443681972470607</v>
      </c>
      <c r="K22">
        <f t="shared" si="4"/>
        <v>133.28333333333333</v>
      </c>
      <c r="L22">
        <f t="shared" si="3"/>
        <v>47.561038629227546</v>
      </c>
      <c r="M22">
        <v>34.085509656244291</v>
      </c>
      <c r="O22">
        <f t="shared" si="6"/>
        <v>127.24999999999999</v>
      </c>
      <c r="P22">
        <f t="shared" si="5"/>
        <v>59.517086655981409</v>
      </c>
      <c r="Q22">
        <v>40.413588809566306</v>
      </c>
      <c r="S22">
        <f t="shared" si="8"/>
        <v>126.04</v>
      </c>
      <c r="T22">
        <f t="shared" si="7"/>
        <v>62.522313615129043</v>
      </c>
      <c r="U22">
        <v>41.914115643102413</v>
      </c>
      <c r="W22">
        <f t="shared" si="10"/>
        <v>127.35833333333333</v>
      </c>
      <c r="X22">
        <f t="shared" si="9"/>
        <v>59.259882217786434</v>
      </c>
      <c r="Y22">
        <v>40.283612629138581</v>
      </c>
    </row>
    <row r="23" spans="1:29" x14ac:dyDescent="0.25">
      <c r="A23" s="4">
        <v>46104.036805555559</v>
      </c>
      <c r="B23" s="8">
        <v>7.6726199584268118</v>
      </c>
      <c r="C23" s="2">
        <v>134.30000000000001</v>
      </c>
      <c r="D23" s="2">
        <f t="shared" si="0"/>
        <v>45.931749684677193</v>
      </c>
      <c r="E23" s="2">
        <v>33.330891209856325</v>
      </c>
      <c r="F23" s="2"/>
      <c r="G23">
        <f t="shared" si="1"/>
        <v>127</v>
      </c>
      <c r="H23">
        <f t="shared" si="2"/>
        <v>60.117832022052617</v>
      </c>
      <c r="I23">
        <v>40.919917688875927</v>
      </c>
      <c r="K23">
        <f t="shared" si="4"/>
        <v>131.04999999999998</v>
      </c>
      <c r="L23">
        <f t="shared" si="3"/>
        <v>51.486285961442022</v>
      </c>
      <c r="M23">
        <v>36.406003879565191</v>
      </c>
      <c r="O23">
        <f t="shared" si="6"/>
        <v>130.71250000000001</v>
      </c>
      <c r="P23">
        <f t="shared" si="5"/>
        <v>52.125308353124936</v>
      </c>
      <c r="Q23">
        <v>36.750777711239948</v>
      </c>
      <c r="S23">
        <f t="shared" si="8"/>
        <v>125.77000000000001</v>
      </c>
      <c r="T23">
        <f t="shared" si="7"/>
        <v>63.227941667350194</v>
      </c>
      <c r="U23">
        <v>42.476003191831801</v>
      </c>
      <c r="W23">
        <f t="shared" si="10"/>
        <v>124.93333333333334</v>
      </c>
      <c r="X23">
        <f t="shared" si="9"/>
        <v>65.50255198035525</v>
      </c>
      <c r="Y23">
        <v>43.592606027838052</v>
      </c>
    </row>
    <row r="24" spans="1:29" x14ac:dyDescent="0.25">
      <c r="A24" s="4">
        <v>46104.078472222223</v>
      </c>
      <c r="B24" s="8">
        <v>7.4751647062766562</v>
      </c>
      <c r="C24" s="2">
        <v>118.4</v>
      </c>
      <c r="D24" s="2">
        <f t="shared" si="0"/>
        <v>89.511791725837142</v>
      </c>
      <c r="E24" s="2">
        <v>54.802499933398138</v>
      </c>
      <c r="F24" s="2"/>
      <c r="G24">
        <f t="shared" si="1"/>
        <v>122.25</v>
      </c>
      <c r="H24">
        <f t="shared" si="2"/>
        <v>73.832889423966179</v>
      </c>
      <c r="I24">
        <v>47.814790118998864</v>
      </c>
      <c r="K24">
        <f t="shared" si="4"/>
        <v>126.93333333333334</v>
      </c>
      <c r="L24">
        <f t="shared" si="3"/>
        <v>60.27975118802398</v>
      </c>
      <c r="M24">
        <v>41.224120498177122</v>
      </c>
      <c r="O24">
        <f t="shared" si="6"/>
        <v>131.55000000000001</v>
      </c>
      <c r="P24">
        <f t="shared" si="5"/>
        <v>50.562834631968101</v>
      </c>
      <c r="Q24">
        <v>36.091726238784446</v>
      </c>
      <c r="S24">
        <f t="shared" si="8"/>
        <v>127.07000000000001</v>
      </c>
      <c r="T24">
        <f t="shared" si="7"/>
        <v>59.948601248483101</v>
      </c>
      <c r="U24">
        <v>41.055337766401259</v>
      </c>
      <c r="W24">
        <f t="shared" si="10"/>
        <v>126.09166666666668</v>
      </c>
      <c r="X24">
        <f t="shared" si="9"/>
        <v>62.388802284620091</v>
      </c>
      <c r="Y24">
        <v>42.289719335496549</v>
      </c>
    </row>
    <row r="25" spans="1:29" x14ac:dyDescent="0.25">
      <c r="A25" s="4">
        <v>46104.120138888888</v>
      </c>
      <c r="B25" s="8">
        <v>7.3345433674231986</v>
      </c>
      <c r="C25" s="2">
        <v>130.19999999999999</v>
      </c>
      <c r="D25" s="2">
        <f t="shared" si="0"/>
        <v>53.120857920173691</v>
      </c>
      <c r="E25" s="2">
        <v>37.621684254061009</v>
      </c>
      <c r="F25" s="2"/>
      <c r="G25">
        <f t="shared" si="1"/>
        <v>127.55</v>
      </c>
      <c r="H25">
        <f t="shared" si="2"/>
        <v>58.809363070442224</v>
      </c>
      <c r="I25">
        <v>40.627498431888462</v>
      </c>
      <c r="K25">
        <f t="shared" si="4"/>
        <v>126.09999999999998</v>
      </c>
      <c r="L25">
        <f t="shared" si="3"/>
        <v>62.367313290731119</v>
      </c>
      <c r="M25">
        <v>42.444393434880737</v>
      </c>
      <c r="O25">
        <f t="shared" si="6"/>
        <v>129.36249999999998</v>
      </c>
      <c r="P25">
        <f t="shared" si="5"/>
        <v>54.816545459144884</v>
      </c>
      <c r="Q25">
        <v>38.531359489609429</v>
      </c>
      <c r="S25">
        <f t="shared" si="8"/>
        <v>129.43</v>
      </c>
      <c r="T25">
        <f t="shared" si="7"/>
        <v>54.67658787508821</v>
      </c>
      <c r="U25">
        <v>38.456729310316213</v>
      </c>
      <c r="W25">
        <f t="shared" si="10"/>
        <v>125.52500000000002</v>
      </c>
      <c r="X25">
        <f t="shared" si="9"/>
        <v>63.879977565634164</v>
      </c>
      <c r="Y25">
        <v>43.203179611812544</v>
      </c>
      <c r="AA25">
        <f>AVERAGE(C2:C25)</f>
        <v>129.64583333333334</v>
      </c>
      <c r="AB25">
        <f t="shared" ref="AB25:AB56" si="11">(($AG$4/((AA25/$AJ$4)-$AH$4))-$AI$4)*100</f>
        <v>54.233007026605264</v>
      </c>
      <c r="AC25">
        <v>38.219663463447027</v>
      </c>
    </row>
    <row r="26" spans="1:29" x14ac:dyDescent="0.25">
      <c r="A26" s="4">
        <v>46104.161805555559</v>
      </c>
      <c r="B26" s="8">
        <v>7.2254833195682338</v>
      </c>
      <c r="C26" s="2">
        <v>122.6</v>
      </c>
      <c r="D26" s="2">
        <f t="shared" si="0"/>
        <v>72.645530698612006</v>
      </c>
      <c r="E26" s="2">
        <v>47.605601635534086</v>
      </c>
      <c r="F26" s="2"/>
      <c r="G26">
        <f t="shared" si="1"/>
        <v>126.375</v>
      </c>
      <c r="H26">
        <f t="shared" si="2"/>
        <v>61.665121907258055</v>
      </c>
      <c r="I26">
        <v>42.217202427564956</v>
      </c>
      <c r="K26">
        <f t="shared" si="4"/>
        <v>123.63333333333334</v>
      </c>
      <c r="L26">
        <f t="shared" si="3"/>
        <v>69.325175482328348</v>
      </c>
      <c r="M26">
        <v>46.016008261465061</v>
      </c>
      <c r="O26">
        <f t="shared" si="6"/>
        <v>126.8</v>
      </c>
      <c r="P26">
        <f t="shared" si="5"/>
        <v>60.605795973690448</v>
      </c>
      <c r="Q26">
        <v>41.676160832190675</v>
      </c>
      <c r="S26">
        <f t="shared" si="8"/>
        <v>130.52000000000001</v>
      </c>
      <c r="T26">
        <f t="shared" si="7"/>
        <v>52.495628500891144</v>
      </c>
      <c r="U26">
        <v>37.392057553439216</v>
      </c>
      <c r="W26">
        <f t="shared" si="10"/>
        <v>126.95833333333333</v>
      </c>
      <c r="X26">
        <f t="shared" si="9"/>
        <v>60.218945773596488</v>
      </c>
      <c r="Y26">
        <v>41.477568925524359</v>
      </c>
      <c r="AA26">
        <f t="shared" ref="AA26:AA89" si="12">AVERAGE(C3:C26)</f>
        <v>128.37916666666669</v>
      </c>
      <c r="AB26">
        <f t="shared" si="11"/>
        <v>56.92469755844035</v>
      </c>
      <c r="AC26">
        <v>39.763791497109665</v>
      </c>
    </row>
    <row r="27" spans="1:29" x14ac:dyDescent="0.25">
      <c r="A27" s="4">
        <v>46104.203472222223</v>
      </c>
      <c r="B27" s="8">
        <v>7.0696379289276292</v>
      </c>
      <c r="C27" s="2">
        <v>120.3</v>
      </c>
      <c r="D27" s="2">
        <f t="shared" si="0"/>
        <v>81.113935885185626</v>
      </c>
      <c r="E27" s="2">
        <v>51.769494021569905</v>
      </c>
      <c r="F27" s="2"/>
      <c r="G27">
        <f t="shared" si="1"/>
        <v>122.875</v>
      </c>
      <c r="H27">
        <f t="shared" si="2"/>
        <v>71.735535866428052</v>
      </c>
      <c r="I27">
        <v>47.388645620321782</v>
      </c>
      <c r="K27">
        <f t="shared" si="4"/>
        <v>125.51666666666665</v>
      </c>
      <c r="L27">
        <f t="shared" si="3"/>
        <v>63.902355813050349</v>
      </c>
      <c r="M27">
        <v>43.537670820500388</v>
      </c>
      <c r="O27">
        <f t="shared" si="6"/>
        <v>124.93749999999999</v>
      </c>
      <c r="P27">
        <f t="shared" si="5"/>
        <v>65.490881208865531</v>
      </c>
      <c r="Q27">
        <v>44.334325184742305</v>
      </c>
      <c r="S27">
        <f t="shared" si="8"/>
        <v>127.77999999999997</v>
      </c>
      <c r="T27">
        <f t="shared" si="7"/>
        <v>58.276255246630484</v>
      </c>
      <c r="U27">
        <v>40.645624236653418</v>
      </c>
      <c r="W27">
        <f t="shared" si="10"/>
        <v>128.1</v>
      </c>
      <c r="X27">
        <f t="shared" si="9"/>
        <v>57.547848125122279</v>
      </c>
      <c r="Y27">
        <v>40.262694968059449</v>
      </c>
      <c r="AA27">
        <f t="shared" si="12"/>
        <v>126.86666666666669</v>
      </c>
      <c r="AB27">
        <f t="shared" si="11"/>
        <v>60.442404171961158</v>
      </c>
      <c r="AC27">
        <v>41.7725981002271</v>
      </c>
    </row>
    <row r="28" spans="1:29" x14ac:dyDescent="0.25">
      <c r="A28" s="4">
        <v>46104.245138888888</v>
      </c>
      <c r="B28" s="8">
        <v>6.9713488802404662</v>
      </c>
      <c r="C28" s="2">
        <v>107.2</v>
      </c>
      <c r="D28" s="2">
        <f t="shared" si="0"/>
        <v>205.50137118564371</v>
      </c>
      <c r="E28" s="2">
        <v>99.732988741765965</v>
      </c>
      <c r="F28" s="2"/>
      <c r="G28">
        <f t="shared" si="1"/>
        <v>120.07499999999999</v>
      </c>
      <c r="H28">
        <f t="shared" si="2"/>
        <v>82.034806275384554</v>
      </c>
      <c r="I28">
        <v>52.346599296587002</v>
      </c>
      <c r="K28">
        <f t="shared" si="4"/>
        <v>122.16666666666667</v>
      </c>
      <c r="L28">
        <f t="shared" si="3"/>
        <v>74.120549515705974</v>
      </c>
      <c r="M28">
        <v>48.66677167192443</v>
      </c>
      <c r="O28">
        <f t="shared" si="6"/>
        <v>121.16250000000001</v>
      </c>
      <c r="P28">
        <f t="shared" si="5"/>
        <v>77.74579980730924</v>
      </c>
      <c r="Q28">
        <v>50.371911877559981</v>
      </c>
      <c r="S28">
        <f t="shared" si="8"/>
        <v>124.19000000000001</v>
      </c>
      <c r="T28">
        <f t="shared" si="7"/>
        <v>67.642812321684517</v>
      </c>
      <c r="U28">
        <v>45.529117032702899</v>
      </c>
      <c r="W28">
        <f t="shared" si="10"/>
        <v>127.72500000000001</v>
      </c>
      <c r="X28">
        <f t="shared" si="9"/>
        <v>58.403000751376254</v>
      </c>
      <c r="Y28">
        <v>40.822635525251208</v>
      </c>
      <c r="AA28">
        <f t="shared" si="12"/>
        <v>124.65833333333335</v>
      </c>
      <c r="AB28">
        <f t="shared" si="11"/>
        <v>66.28072505193245</v>
      </c>
      <c r="AC28">
        <v>44.853309895663998</v>
      </c>
    </row>
    <row r="29" spans="1:29" x14ac:dyDescent="0.25">
      <c r="A29" s="4">
        <v>46104.286805555559</v>
      </c>
      <c r="B29" s="8">
        <v>7.2279194734155263</v>
      </c>
      <c r="C29" s="2">
        <v>113.4</v>
      </c>
      <c r="D29" s="2">
        <f t="shared" si="0"/>
        <v>121.16950929220532</v>
      </c>
      <c r="E29" s="2">
        <v>68.11732456521932</v>
      </c>
      <c r="F29" s="2"/>
      <c r="G29">
        <f t="shared" si="1"/>
        <v>115.875</v>
      </c>
      <c r="H29">
        <f t="shared" si="2"/>
        <v>103.35184753154721</v>
      </c>
      <c r="I29">
        <v>61.053684988173998</v>
      </c>
      <c r="K29">
        <f t="shared" si="4"/>
        <v>118.68333333333334</v>
      </c>
      <c r="L29">
        <f t="shared" si="3"/>
        <v>88.164147973012646</v>
      </c>
      <c r="M29">
        <v>54.647850658365002</v>
      </c>
      <c r="O29">
        <f t="shared" si="6"/>
        <v>121.71249999999999</v>
      </c>
      <c r="P29">
        <f t="shared" si="5"/>
        <v>75.723022804322369</v>
      </c>
      <c r="Q29">
        <v>49.047409428625087</v>
      </c>
      <c r="S29">
        <f t="shared" si="8"/>
        <v>122.00999999999999</v>
      </c>
      <c r="T29">
        <f t="shared" si="7"/>
        <v>74.666634383848816</v>
      </c>
      <c r="U29">
        <v>48.554247991850644</v>
      </c>
      <c r="W29">
        <f t="shared" si="10"/>
        <v>124.86666666666666</v>
      </c>
      <c r="X29">
        <f t="shared" si="9"/>
        <v>65.6897666975959</v>
      </c>
      <c r="Y29">
        <v>44.234067056412307</v>
      </c>
      <c r="AA29">
        <f t="shared" si="12"/>
        <v>124.05833333333334</v>
      </c>
      <c r="AB29">
        <f t="shared" si="11"/>
        <v>68.034381614649746</v>
      </c>
      <c r="AC29">
        <v>45.385974961545962</v>
      </c>
    </row>
    <row r="30" spans="1:29" x14ac:dyDescent="0.25">
      <c r="A30" s="4">
        <v>46104.328472222223</v>
      </c>
      <c r="B30" s="8">
        <v>9.2021656768462847</v>
      </c>
      <c r="C30" s="5">
        <v>120.9</v>
      </c>
      <c r="D30" s="2">
        <f t="shared" si="0"/>
        <v>78.744660696808253</v>
      </c>
      <c r="E30" s="5">
        <v>47.622375999587121</v>
      </c>
      <c r="F30" s="5"/>
      <c r="G30">
        <f t="shared" si="1"/>
        <v>115.44999999999999</v>
      </c>
      <c r="H30">
        <f t="shared" si="2"/>
        <v>106.06306410764812</v>
      </c>
      <c r="I30">
        <v>58.221448246237543</v>
      </c>
      <c r="K30">
        <f t="shared" si="4"/>
        <v>119.09999999999998</v>
      </c>
      <c r="L30">
        <f t="shared" si="3"/>
        <v>86.246385474330083</v>
      </c>
      <c r="M30">
        <v>50.697295074146432</v>
      </c>
      <c r="O30">
        <f t="shared" si="6"/>
        <v>120.91249999999999</v>
      </c>
      <c r="P30">
        <f t="shared" si="5"/>
        <v>78.696589155990068</v>
      </c>
      <c r="Q30">
        <v>47.60220423380057</v>
      </c>
      <c r="S30">
        <f t="shared" si="8"/>
        <v>120.36000000000001</v>
      </c>
      <c r="T30">
        <f t="shared" si="7"/>
        <v>80.871424779094298</v>
      </c>
      <c r="U30">
        <v>48.508660585129547</v>
      </c>
      <c r="W30">
        <f t="shared" si="10"/>
        <v>123.01666666666669</v>
      </c>
      <c r="X30">
        <f t="shared" si="9"/>
        <v>71.2743894482808</v>
      </c>
      <c r="Y30">
        <v>44.409590231634908</v>
      </c>
      <c r="AA30">
        <f t="shared" si="12"/>
        <v>122.625</v>
      </c>
      <c r="AB30">
        <f t="shared" si="11"/>
        <v>72.561982500267803</v>
      </c>
      <c r="AC30">
        <v>44.97499372938438</v>
      </c>
    </row>
    <row r="31" spans="1:29" x14ac:dyDescent="0.25">
      <c r="A31" s="4">
        <v>46104.66249959491</v>
      </c>
      <c r="B31" s="8">
        <v>20.554983852501525</v>
      </c>
      <c r="C31" s="5">
        <v>132</v>
      </c>
      <c r="D31" s="2">
        <f t="shared" si="0"/>
        <v>49.754578376229077</v>
      </c>
      <c r="E31" s="5">
        <v>26.646613944203317</v>
      </c>
      <c r="F31" s="5"/>
      <c r="G31">
        <f t="shared" si="1"/>
        <v>118.375</v>
      </c>
      <c r="H31">
        <f t="shared" si="2"/>
        <v>89.632453310430975</v>
      </c>
      <c r="I31">
        <v>39.629493442867606</v>
      </c>
      <c r="K31">
        <f t="shared" si="4"/>
        <v>119.39999999999999</v>
      </c>
      <c r="L31">
        <f t="shared" si="3"/>
        <v>84.910671505827878</v>
      </c>
      <c r="M31">
        <v>38.335515303528972</v>
      </c>
      <c r="O31">
        <f t="shared" si="6"/>
        <v>120.625</v>
      </c>
      <c r="P31">
        <f t="shared" si="5"/>
        <v>79.815352327298697</v>
      </c>
      <c r="Q31">
        <v>36.87714897835496</v>
      </c>
      <c r="S31">
        <f t="shared" si="8"/>
        <v>122.66</v>
      </c>
      <c r="T31">
        <f t="shared" si="7"/>
        <v>72.445293364830349</v>
      </c>
      <c r="U31">
        <v>34.64322194592603</v>
      </c>
      <c r="W31">
        <f t="shared" si="10"/>
        <v>122.75</v>
      </c>
      <c r="X31">
        <f t="shared" si="9"/>
        <v>72.14671786783633</v>
      </c>
      <c r="Y31">
        <v>34.549405192999252</v>
      </c>
      <c r="AA31">
        <f t="shared" si="12"/>
        <v>123.1125</v>
      </c>
      <c r="AB31">
        <f t="shared" si="11"/>
        <v>70.965324076376049</v>
      </c>
      <c r="AC31">
        <v>34.175541239947229</v>
      </c>
    </row>
    <row r="32" spans="1:29" x14ac:dyDescent="0.25">
      <c r="A32" s="4">
        <v>46104.704166203701</v>
      </c>
      <c r="B32" s="8">
        <v>18.632510928542189</v>
      </c>
      <c r="C32" s="5">
        <v>120.3</v>
      </c>
      <c r="D32" s="2">
        <f t="shared" si="0"/>
        <v>81.113935885185626</v>
      </c>
      <c r="E32" s="5">
        <v>38.691103441620122</v>
      </c>
      <c r="F32" s="5"/>
      <c r="G32">
        <f t="shared" si="1"/>
        <v>121.65</v>
      </c>
      <c r="H32">
        <f t="shared" si="2"/>
        <v>75.948254077851487</v>
      </c>
      <c r="I32">
        <v>37.089598046031433</v>
      </c>
      <c r="K32">
        <f t="shared" si="4"/>
        <v>119.01666666666665</v>
      </c>
      <c r="L32">
        <f t="shared" si="3"/>
        <v>86.624010833144311</v>
      </c>
      <c r="M32">
        <v>40.321108793142798</v>
      </c>
      <c r="O32">
        <f t="shared" si="6"/>
        <v>120.86249999999998</v>
      </c>
      <c r="P32">
        <f t="shared" si="5"/>
        <v>78.889183256467106</v>
      </c>
      <c r="Q32">
        <v>38.010427492963089</v>
      </c>
      <c r="S32">
        <f t="shared" si="8"/>
        <v>121.96</v>
      </c>
      <c r="T32">
        <f t="shared" si="7"/>
        <v>74.842386101920837</v>
      </c>
      <c r="U32">
        <v>36.736937057057638</v>
      </c>
      <c r="W32">
        <f t="shared" si="10"/>
        <v>121.325</v>
      </c>
      <c r="X32">
        <f t="shared" si="9"/>
        <v>77.138462771630245</v>
      </c>
      <c r="Y32">
        <v>37.465208170882619</v>
      </c>
      <c r="AA32">
        <f t="shared" si="12"/>
        <v>123.66250000000001</v>
      </c>
      <c r="AB32">
        <f t="shared" si="11"/>
        <v>69.235254080364854</v>
      </c>
      <c r="AC32">
        <v>34.892099500852133</v>
      </c>
    </row>
    <row r="33" spans="1:29" x14ac:dyDescent="0.25">
      <c r="A33" s="4">
        <v>46104.745832812499</v>
      </c>
      <c r="B33" s="8">
        <v>14.956348928356816</v>
      </c>
      <c r="C33" s="5">
        <v>113.3</v>
      </c>
      <c r="D33" s="2">
        <f t="shared" si="0"/>
        <v>122.00634349611492</v>
      </c>
      <c r="E33" s="5">
        <v>53.773021270596018</v>
      </c>
      <c r="F33" s="5"/>
      <c r="G33">
        <f t="shared" si="1"/>
        <v>121.625</v>
      </c>
      <c r="H33">
        <f t="shared" si="2"/>
        <v>76.038672621413383</v>
      </c>
      <c r="I33">
        <v>40.1805883419254</v>
      </c>
      <c r="K33">
        <f t="shared" si="4"/>
        <v>117.84999999999998</v>
      </c>
      <c r="L33">
        <f t="shared" si="3"/>
        <v>92.234649818594022</v>
      </c>
      <c r="M33">
        <v>45.492963384538484</v>
      </c>
      <c r="O33">
        <f t="shared" si="6"/>
        <v>118.74999999999999</v>
      </c>
      <c r="P33">
        <f t="shared" si="5"/>
        <v>87.852264853414212</v>
      </c>
      <c r="Q33">
        <v>44.121379426531796</v>
      </c>
      <c r="S33">
        <f t="shared" si="8"/>
        <v>119.85999999999999</v>
      </c>
      <c r="T33">
        <f t="shared" si="7"/>
        <v>82.932023088881053</v>
      </c>
      <c r="U33">
        <v>42.525325606376832</v>
      </c>
      <c r="W33">
        <f t="shared" si="10"/>
        <v>121.68333333333332</v>
      </c>
      <c r="X33">
        <f t="shared" si="9"/>
        <v>75.827986176654946</v>
      </c>
      <c r="Y33">
        <v>40.106797357915895</v>
      </c>
      <c r="AA33">
        <f t="shared" si="12"/>
        <v>123.97083333333336</v>
      </c>
      <c r="AB33">
        <f t="shared" si="11"/>
        <v>68.296751855469296</v>
      </c>
      <c r="AC33">
        <v>37.379332792803083</v>
      </c>
    </row>
    <row r="34" spans="1:29" x14ac:dyDescent="0.25">
      <c r="A34" s="4">
        <v>46104.787499421298</v>
      </c>
      <c r="B34" s="8">
        <v>11.572341937443225</v>
      </c>
      <c r="C34" s="5">
        <v>124.3</v>
      </c>
      <c r="D34" s="2">
        <f t="shared" ref="D34:D65" si="13">(($AG$4/((C34/$AJ$4)-$AH$4))-$AI$4)*100</f>
        <v>67.318622479661656</v>
      </c>
      <c r="E34" s="5">
        <v>40.102049130107396</v>
      </c>
      <c r="F34" s="5"/>
      <c r="G34">
        <f t="shared" si="1"/>
        <v>122.47500000000001</v>
      </c>
      <c r="H34">
        <f t="shared" si="2"/>
        <v>73.065775258296668</v>
      </c>
      <c r="I34">
        <v>42.449800173945803</v>
      </c>
      <c r="K34">
        <f t="shared" si="4"/>
        <v>120.69999999999999</v>
      </c>
      <c r="L34">
        <f t="shared" si="3"/>
        <v>79.520834036333383</v>
      </c>
      <c r="M34">
        <v>44.965843129149931</v>
      </c>
      <c r="O34">
        <f t="shared" si="6"/>
        <v>118.96249999999998</v>
      </c>
      <c r="P34">
        <f t="shared" si="5"/>
        <v>86.871035911455692</v>
      </c>
      <c r="Q34">
        <v>47.691289739584199</v>
      </c>
      <c r="S34">
        <f t="shared" si="8"/>
        <v>120.44999999999997</v>
      </c>
      <c r="T34">
        <f t="shared" si="7"/>
        <v>80.510030125622592</v>
      </c>
      <c r="U34">
        <v>45.34093067005147</v>
      </c>
      <c r="W34">
        <f t="shared" si="10"/>
        <v>121.43333333333332</v>
      </c>
      <c r="X34">
        <f t="shared" si="9"/>
        <v>76.738142963512445</v>
      </c>
      <c r="Y34">
        <v>43.896062847990144</v>
      </c>
      <c r="AA34">
        <f t="shared" si="12"/>
        <v>124.39583333333336</v>
      </c>
      <c r="AB34">
        <f t="shared" si="11"/>
        <v>67.038341543486197</v>
      </c>
      <c r="AC34">
        <v>39.984767444155125</v>
      </c>
    </row>
    <row r="35" spans="1:29" x14ac:dyDescent="0.25">
      <c r="A35" s="4">
        <v>46104.829166030089</v>
      </c>
      <c r="B35" s="8">
        <v>9.9697990351932528</v>
      </c>
      <c r="C35" s="5">
        <v>133.80000000000001</v>
      </c>
      <c r="D35" s="2">
        <f t="shared" si="13"/>
        <v>46.721651239538318</v>
      </c>
      <c r="E35" s="5">
        <v>31.878095077910167</v>
      </c>
      <c r="F35" s="5"/>
      <c r="G35">
        <f t="shared" si="1"/>
        <v>122.925</v>
      </c>
      <c r="H35">
        <f t="shared" si="2"/>
        <v>71.572192742661869</v>
      </c>
      <c r="I35">
        <v>43.628080912516246</v>
      </c>
      <c r="K35">
        <f t="shared" si="4"/>
        <v>124.09999999999998</v>
      </c>
      <c r="L35">
        <f t="shared" si="3"/>
        <v>67.910048867714266</v>
      </c>
      <c r="M35">
        <v>42.040794254194758</v>
      </c>
      <c r="O35">
        <f t="shared" si="6"/>
        <v>120.64999999999998</v>
      </c>
      <c r="P35">
        <f t="shared" si="5"/>
        <v>79.716968018503692</v>
      </c>
      <c r="Q35">
        <v>47.012632400260664</v>
      </c>
      <c r="S35">
        <f t="shared" si="8"/>
        <v>120.80999999999999</v>
      </c>
      <c r="T35">
        <f t="shared" si="7"/>
        <v>79.092294246172415</v>
      </c>
      <c r="U35">
        <v>46.759705061238932</v>
      </c>
      <c r="W35">
        <f t="shared" si="10"/>
        <v>121.39166666666665</v>
      </c>
      <c r="X35">
        <f t="shared" si="9"/>
        <v>76.891683453258736</v>
      </c>
      <c r="Y35">
        <v>45.860155488624599</v>
      </c>
      <c r="AA35">
        <f t="shared" si="12"/>
        <v>123.16250000000004</v>
      </c>
      <c r="AB35">
        <f t="shared" si="11"/>
        <v>70.804987013560122</v>
      </c>
      <c r="AC35">
        <v>43.299095370295561</v>
      </c>
    </row>
    <row r="36" spans="1:29" x14ac:dyDescent="0.25">
      <c r="A36" s="4">
        <v>46104.870832638888</v>
      </c>
      <c r="B36" s="8">
        <v>9.2845810526664216</v>
      </c>
      <c r="C36" s="5">
        <v>142.1</v>
      </c>
      <c r="D36" s="2">
        <f t="shared" si="13"/>
        <v>35.899719689406325</v>
      </c>
      <c r="E36" s="5">
        <v>26.318936163765411</v>
      </c>
      <c r="F36" s="5"/>
      <c r="G36">
        <f t="shared" si="1"/>
        <v>128.375</v>
      </c>
      <c r="H36">
        <f t="shared" si="2"/>
        <v>56.933915616372865</v>
      </c>
      <c r="I36">
        <v>37.656493468494503</v>
      </c>
      <c r="K36">
        <f t="shared" si="4"/>
        <v>127.63333333333334</v>
      </c>
      <c r="L36">
        <f t="shared" si="3"/>
        <v>58.615269600439809</v>
      </c>
      <c r="M36">
        <v>38.475577769717788</v>
      </c>
      <c r="O36">
        <f t="shared" si="6"/>
        <v>125.0125</v>
      </c>
      <c r="P36">
        <f t="shared" si="5"/>
        <v>65.281410627036621</v>
      </c>
      <c r="Q36">
        <v>41.617314009337605</v>
      </c>
      <c r="S36">
        <f t="shared" si="8"/>
        <v>122.75999999999996</v>
      </c>
      <c r="T36">
        <f t="shared" si="7"/>
        <v>72.113673868147316</v>
      </c>
      <c r="U36">
        <v>44.67795311680274</v>
      </c>
      <c r="W36">
        <f t="shared" si="10"/>
        <v>123.36666666666663</v>
      </c>
      <c r="X36">
        <f t="shared" si="9"/>
        <v>70.15669720042311</v>
      </c>
      <c r="Y36">
        <v>43.816615596774838</v>
      </c>
      <c r="AA36">
        <f t="shared" si="12"/>
        <v>124.7291666666667</v>
      </c>
      <c r="AB36">
        <f t="shared" si="11"/>
        <v>66.078786588258794</v>
      </c>
      <c r="AC36">
        <v>41.982442502497207</v>
      </c>
    </row>
    <row r="37" spans="1:29" x14ac:dyDescent="0.25">
      <c r="A37" s="4">
        <v>46104.912499247686</v>
      </c>
      <c r="B37" s="8">
        <v>8.5482595451636705</v>
      </c>
      <c r="C37" s="5">
        <v>107.5</v>
      </c>
      <c r="D37" s="2">
        <f t="shared" si="13"/>
        <v>199.026127266006</v>
      </c>
      <c r="E37" s="5">
        <v>89.58971213934737</v>
      </c>
      <c r="F37" s="5"/>
      <c r="G37">
        <f t="shared" si="1"/>
        <v>126.92500000000001</v>
      </c>
      <c r="H37">
        <f t="shared" ref="H37:H68" si="14">(($AG$4/((G37/$AJ$4)-$AH$4))-$AI$4)*100</f>
        <v>60.300042578245396</v>
      </c>
      <c r="I37">
        <v>40.054901499808437</v>
      </c>
      <c r="K37">
        <f t="shared" si="4"/>
        <v>123.55</v>
      </c>
      <c r="L37">
        <f t="shared" si="3"/>
        <v>69.583201021466394</v>
      </c>
      <c r="M37">
        <v>44.447736814982207</v>
      </c>
      <c r="O37">
        <f t="shared" si="6"/>
        <v>124.27499999999999</v>
      </c>
      <c r="P37">
        <f t="shared" si="5"/>
        <v>67.392068554523249</v>
      </c>
      <c r="Q37">
        <v>43.437163045150079</v>
      </c>
      <c r="S37">
        <f t="shared" si="8"/>
        <v>121.47999999999998</v>
      </c>
      <c r="T37">
        <f t="shared" si="7"/>
        <v>76.566809654503516</v>
      </c>
      <c r="U37">
        <v>47.57100621721672</v>
      </c>
      <c r="W37">
        <f t="shared" si="10"/>
        <v>121.47499999999998</v>
      </c>
      <c r="X37">
        <f t="shared" si="9"/>
        <v>76.58513496283652</v>
      </c>
      <c r="Y37">
        <v>47.579017343536016</v>
      </c>
      <c r="AA37">
        <f t="shared" si="12"/>
        <v>123.50000000000004</v>
      </c>
      <c r="AB37">
        <f t="shared" si="11"/>
        <v>69.738808632123295</v>
      </c>
      <c r="AC37">
        <v>44.518923887848459</v>
      </c>
    </row>
    <row r="38" spans="1:29" x14ac:dyDescent="0.25">
      <c r="A38" s="4">
        <v>46104.954165856485</v>
      </c>
      <c r="B38" s="8">
        <v>8.0454288163106611</v>
      </c>
      <c r="C38" s="5">
        <v>145.4</v>
      </c>
      <c r="D38" s="2">
        <f t="shared" si="13"/>
        <v>32.637845251095499</v>
      </c>
      <c r="E38" s="5">
        <v>25.098667031829542</v>
      </c>
      <c r="F38" s="5"/>
      <c r="G38">
        <f t="shared" si="1"/>
        <v>132.19999999999999</v>
      </c>
      <c r="H38">
        <f t="shared" si="14"/>
        <v>49.40207196740063</v>
      </c>
      <c r="I38">
        <v>34.92831706675301</v>
      </c>
      <c r="K38">
        <f t="shared" si="4"/>
        <v>127.73333333333333</v>
      </c>
      <c r="L38">
        <f t="shared" si="3"/>
        <v>58.383767297487353</v>
      </c>
      <c r="M38">
        <v>39.636635400926515</v>
      </c>
      <c r="O38">
        <f t="shared" si="6"/>
        <v>127.33750000000001</v>
      </c>
      <c r="P38">
        <f t="shared" si="5"/>
        <v>59.30919981951871</v>
      </c>
      <c r="Q38">
        <v>40.103044110791551</v>
      </c>
      <c r="S38">
        <f t="shared" si="8"/>
        <v>125.3</v>
      </c>
      <c r="T38">
        <f t="shared" si="7"/>
        <v>64.488890252143932</v>
      </c>
      <c r="U38">
        <v>42.655150069867197</v>
      </c>
      <c r="W38">
        <f t="shared" si="10"/>
        <v>123.37499999999999</v>
      </c>
      <c r="X38">
        <f t="shared" si="9"/>
        <v>70.130453252322965</v>
      </c>
      <c r="Y38">
        <v>45.330431634284167</v>
      </c>
      <c r="AA38">
        <f t="shared" si="12"/>
        <v>125.1666666666667</v>
      </c>
      <c r="AB38">
        <f t="shared" si="11"/>
        <v>64.854391832835461</v>
      </c>
      <c r="AC38">
        <v>42.831651452499457</v>
      </c>
    </row>
    <row r="39" spans="1:29" x14ac:dyDescent="0.25">
      <c r="A39" s="4">
        <v>46104.995832465276</v>
      </c>
      <c r="B39" s="8">
        <v>7.7747564174641548</v>
      </c>
      <c r="C39" s="5">
        <v>122.4</v>
      </c>
      <c r="D39" s="2">
        <f t="shared" si="13"/>
        <v>73.319942907585315</v>
      </c>
      <c r="E39" s="5">
        <v>47.164171110028093</v>
      </c>
      <c r="F39" s="5"/>
      <c r="G39">
        <f t="shared" si="1"/>
        <v>129.35</v>
      </c>
      <c r="H39">
        <f t="shared" si="14"/>
        <v>54.842528520946686</v>
      </c>
      <c r="I39">
        <v>38.093342022527686</v>
      </c>
      <c r="K39">
        <f t="shared" si="4"/>
        <v>129.25</v>
      </c>
      <c r="L39">
        <f t="shared" ref="L39:L70" si="15">(($AG$4/((K39/$AJ$4)-$AH$4))-$AI$4)*100</f>
        <v>55.051128298584814</v>
      </c>
      <c r="M39">
        <v>38.202720854592847</v>
      </c>
      <c r="O39">
        <f t="shared" si="6"/>
        <v>126.13749999999999</v>
      </c>
      <c r="P39">
        <f t="shared" si="5"/>
        <v>62.270767294131957</v>
      </c>
      <c r="Q39">
        <v>41.882979266848608</v>
      </c>
      <c r="S39">
        <f t="shared" si="8"/>
        <v>126.2</v>
      </c>
      <c r="T39">
        <f t="shared" si="7"/>
        <v>62.110416913960641</v>
      </c>
      <c r="U39">
        <v>41.80335762598466</v>
      </c>
      <c r="W39">
        <f t="shared" si="10"/>
        <v>123.55</v>
      </c>
      <c r="X39">
        <f t="shared" si="9"/>
        <v>69.583201021466394</v>
      </c>
      <c r="Y39">
        <v>45.421183911939671</v>
      </c>
      <c r="AA39">
        <f t="shared" si="12"/>
        <v>125.82500000000005</v>
      </c>
      <c r="AB39">
        <f t="shared" si="11"/>
        <v>63.083113639103928</v>
      </c>
      <c r="AC39">
        <v>42.284947874311172</v>
      </c>
    </row>
    <row r="40" spans="1:29" x14ac:dyDescent="0.25">
      <c r="A40" s="4">
        <v>46105.037499999999</v>
      </c>
      <c r="B40" s="8">
        <v>7.5847110599946967</v>
      </c>
      <c r="C40" s="5">
        <v>107.4</v>
      </c>
      <c r="D40" s="2">
        <f t="shared" si="13"/>
        <v>201.14117298346326</v>
      </c>
      <c r="E40" s="5">
        <v>94.853093362394645</v>
      </c>
      <c r="F40" s="5"/>
      <c r="G40">
        <f t="shared" si="1"/>
        <v>120.67500000000001</v>
      </c>
      <c r="H40">
        <f t="shared" si="14"/>
        <v>79.618795482524533</v>
      </c>
      <c r="I40">
        <v>50.297575417811444</v>
      </c>
      <c r="K40">
        <f t="shared" si="4"/>
        <v>126.43333333333332</v>
      </c>
      <c r="L40">
        <f t="shared" si="15"/>
        <v>61.517885048783718</v>
      </c>
      <c r="M40">
        <v>41.725423912248601</v>
      </c>
      <c r="O40">
        <f t="shared" si="6"/>
        <v>124.52499999999999</v>
      </c>
      <c r="P40">
        <f t="shared" si="5"/>
        <v>66.66371051509779</v>
      </c>
      <c r="Q40">
        <v>44.26521594765174</v>
      </c>
      <c r="S40">
        <f t="shared" si="8"/>
        <v>124.85000000000002</v>
      </c>
      <c r="T40">
        <f t="shared" si="7"/>
        <v>65.736712704441302</v>
      </c>
      <c r="U40">
        <v>43.814289144772836</v>
      </c>
      <c r="W40">
        <f t="shared" si="10"/>
        <v>123.56666666666668</v>
      </c>
      <c r="X40">
        <f t="shared" si="9"/>
        <v>69.531464202799881</v>
      </c>
      <c r="Y40">
        <v>45.642788176816552</v>
      </c>
      <c r="AA40">
        <f t="shared" si="12"/>
        <v>125.64583333333337</v>
      </c>
      <c r="AB40">
        <f t="shared" si="11"/>
        <v>63.556979262796375</v>
      </c>
      <c r="AC40">
        <v>42.74270488382998</v>
      </c>
    </row>
    <row r="41" spans="1:29" x14ac:dyDescent="0.25">
      <c r="A41" s="4">
        <v>46105.07916666667</v>
      </c>
      <c r="B41" s="8">
        <v>7.6906784185139516</v>
      </c>
      <c r="C41" s="5">
        <v>127.7</v>
      </c>
      <c r="D41" s="2">
        <f t="shared" si="13"/>
        <v>58.460764686851178</v>
      </c>
      <c r="E41" s="5">
        <v>40.056722188439196</v>
      </c>
      <c r="F41" s="5"/>
      <c r="G41">
        <f t="shared" si="1"/>
        <v>125.72500000000001</v>
      </c>
      <c r="H41">
        <f t="shared" si="14"/>
        <v>63.346856354207773</v>
      </c>
      <c r="I41">
        <v>42.513573625117012</v>
      </c>
      <c r="K41">
        <f t="shared" si="4"/>
        <v>125.41666666666667</v>
      </c>
      <c r="L41">
        <f t="shared" si="15"/>
        <v>64.171934871420092</v>
      </c>
      <c r="M41">
        <v>42.920024154159591</v>
      </c>
      <c r="O41">
        <f t="shared" si="6"/>
        <v>126.325</v>
      </c>
      <c r="P41">
        <f t="shared" ref="P41:P72" si="16">(($AG$4/((O41/$AJ$4)-$AH$4))-$AI$4)*100</f>
        <v>61.791798356475994</v>
      </c>
      <c r="Q41">
        <v>41.741055056677837</v>
      </c>
      <c r="S41">
        <f t="shared" si="8"/>
        <v>124.42</v>
      </c>
      <c r="T41">
        <f t="shared" si="7"/>
        <v>66.967976440182824</v>
      </c>
      <c r="U41">
        <v>44.280329136494771</v>
      </c>
      <c r="W41">
        <f t="shared" si="10"/>
        <v>124.75833333333334</v>
      </c>
      <c r="X41">
        <f t="shared" si="9"/>
        <v>65.995939904431097</v>
      </c>
      <c r="Y41">
        <v>43.810361119735433</v>
      </c>
      <c r="AA41">
        <f t="shared" si="12"/>
        <v>124.8125</v>
      </c>
      <c r="AB41">
        <f t="shared" si="11"/>
        <v>65.842550292950747</v>
      </c>
      <c r="AC41">
        <v>43.735916181608189</v>
      </c>
    </row>
    <row r="42" spans="1:29" x14ac:dyDescent="0.25">
      <c r="A42" s="4">
        <v>46105.120833391207</v>
      </c>
      <c r="B42" s="8">
        <v>7.6687214210860883</v>
      </c>
      <c r="C42" s="5">
        <v>122.6</v>
      </c>
      <c r="D42" s="2">
        <f t="shared" si="13"/>
        <v>72.645530698612006</v>
      </c>
      <c r="E42" s="5">
        <v>46.995975260484514</v>
      </c>
      <c r="F42" s="5"/>
      <c r="G42">
        <f t="shared" si="1"/>
        <v>120.02500000000001</v>
      </c>
      <c r="H42">
        <f t="shared" si="14"/>
        <v>82.241936547137684</v>
      </c>
      <c r="I42">
        <v>51.3334791085327</v>
      </c>
      <c r="K42">
        <f t="shared" si="4"/>
        <v>122.16666666666669</v>
      </c>
      <c r="L42">
        <f t="shared" si="15"/>
        <v>74.120549515705918</v>
      </c>
      <c r="M42">
        <v>47.67874480722439</v>
      </c>
      <c r="O42">
        <f t="shared" si="6"/>
        <v>126.1125</v>
      </c>
      <c r="P42">
        <f t="shared" si="16"/>
        <v>62.335103225749144</v>
      </c>
      <c r="Q42">
        <v>42.037345300109649</v>
      </c>
      <c r="S42">
        <f t="shared" si="8"/>
        <v>124.64999999999998</v>
      </c>
      <c r="T42">
        <f t="shared" si="7"/>
        <v>66.304551655780969</v>
      </c>
      <c r="U42">
        <v>43.98696866590236</v>
      </c>
      <c r="W42">
        <f t="shared" si="10"/>
        <v>124.90000000000002</v>
      </c>
      <c r="X42">
        <f t="shared" si="9"/>
        <v>65.596045684317986</v>
      </c>
      <c r="Y42">
        <v>43.642883262676342</v>
      </c>
      <c r="AA42">
        <f t="shared" si="12"/>
        <v>123.95833333333333</v>
      </c>
      <c r="AB42">
        <f t="shared" si="11"/>
        <v>68.334374693522562</v>
      </c>
      <c r="AC42">
        <v>44.963733820178547</v>
      </c>
    </row>
    <row r="43" spans="1:29" x14ac:dyDescent="0.25">
      <c r="A43" s="4">
        <v>46105.162500115737</v>
      </c>
      <c r="B43" s="8">
        <v>7.655243879045516</v>
      </c>
      <c r="C43" s="5">
        <v>113.7</v>
      </c>
      <c r="D43" s="2">
        <f t="shared" si="13"/>
        <v>118.72078945267329</v>
      </c>
      <c r="E43" s="5">
        <v>66.126576111221624</v>
      </c>
      <c r="F43" s="5"/>
      <c r="G43">
        <f t="shared" si="1"/>
        <v>117.85000000000001</v>
      </c>
      <c r="H43">
        <f t="shared" si="14"/>
        <v>92.234649818593866</v>
      </c>
      <c r="I43">
        <v>55.639777193382891</v>
      </c>
      <c r="K43">
        <f t="shared" si="4"/>
        <v>123.2</v>
      </c>
      <c r="L43">
        <f t="shared" si="15"/>
        <v>70.685142783134893</v>
      </c>
      <c r="M43">
        <v>46.096561876501049</v>
      </c>
      <c r="O43">
        <f t="shared" si="6"/>
        <v>123.60000000000001</v>
      </c>
      <c r="P43">
        <f t="shared" si="16"/>
        <v>69.428188383526404</v>
      </c>
      <c r="Q43">
        <v>45.50212198248164</v>
      </c>
      <c r="S43">
        <f t="shared" si="8"/>
        <v>124.69000000000001</v>
      </c>
      <c r="T43">
        <f t="shared" ref="T43:T74" si="17">(($AG$4/((S43/$AJ$4)-$AH$4))-$AI$4)*100</f>
        <v>66.190316892211555</v>
      </c>
      <c r="U43">
        <v>43.948202060274738</v>
      </c>
      <c r="W43">
        <f t="shared" si="10"/>
        <v>123.375</v>
      </c>
      <c r="X43">
        <f t="shared" si="9"/>
        <v>70.130453252322923</v>
      </c>
      <c r="Y43">
        <v>45.83482839425514</v>
      </c>
      <c r="AA43">
        <f t="shared" si="12"/>
        <v>123.06249999999999</v>
      </c>
      <c r="AB43">
        <f t="shared" si="11"/>
        <v>71.126287058803825</v>
      </c>
      <c r="AC43">
        <v>46.304059651289492</v>
      </c>
    </row>
    <row r="44" spans="1:29" x14ac:dyDescent="0.25">
      <c r="A44" s="4">
        <v>46105.204166840274</v>
      </c>
      <c r="B44" s="8">
        <v>7.5630524180540064</v>
      </c>
      <c r="C44" s="5">
        <v>119.1</v>
      </c>
      <c r="D44" s="2">
        <f t="shared" si="13"/>
        <v>86.246385474330012</v>
      </c>
      <c r="E44" s="5">
        <v>53.24922628964682</v>
      </c>
      <c r="F44" s="5"/>
      <c r="G44">
        <f t="shared" si="1"/>
        <v>120.77500000000001</v>
      </c>
      <c r="H44">
        <f t="shared" si="14"/>
        <v>79.228209450121156</v>
      </c>
      <c r="I44">
        <v>50.154865766429836</v>
      </c>
      <c r="K44">
        <f t="shared" si="4"/>
        <v>118.81666666666668</v>
      </c>
      <c r="L44">
        <f t="shared" si="15"/>
        <v>87.542327621829543</v>
      </c>
      <c r="M44">
        <v>53.808307901318784</v>
      </c>
      <c r="O44">
        <f t="shared" si="6"/>
        <v>120.72500000000002</v>
      </c>
      <c r="P44">
        <f t="shared" si="16"/>
        <v>79.423082999835685</v>
      </c>
      <c r="Q44">
        <v>50.242387230770426</v>
      </c>
      <c r="S44">
        <f t="shared" si="8"/>
        <v>124.16999999999999</v>
      </c>
      <c r="T44">
        <f t="shared" si="17"/>
        <v>67.70204266573711</v>
      </c>
      <c r="U44">
        <v>44.794443116605308</v>
      </c>
      <c r="W44">
        <f t="shared" si="10"/>
        <v>123.27499999999998</v>
      </c>
      <c r="X44">
        <f t="shared" si="9"/>
        <v>70.446498312546638</v>
      </c>
      <c r="Y44">
        <v>46.105583371403242</v>
      </c>
      <c r="AA44">
        <f t="shared" si="12"/>
        <v>122.29999999999997</v>
      </c>
      <c r="AB44">
        <f t="shared" si="11"/>
        <v>73.661219298315856</v>
      </c>
      <c r="AC44">
        <v>47.612718689938021</v>
      </c>
    </row>
    <row r="45" spans="1:29" x14ac:dyDescent="0.25">
      <c r="A45" s="4">
        <v>46105.245833564812</v>
      </c>
      <c r="B45" s="8">
        <v>7.4134988268841111</v>
      </c>
      <c r="C45" s="5">
        <v>129.5</v>
      </c>
      <c r="D45" s="2">
        <f t="shared" si="13"/>
        <v>54.532069284823677</v>
      </c>
      <c r="E45" s="5">
        <v>38.298203191473753</v>
      </c>
      <c r="F45" s="5"/>
      <c r="G45">
        <f t="shared" si="1"/>
        <v>121.22499999999999</v>
      </c>
      <c r="H45">
        <f t="shared" si="14"/>
        <v>77.511226286685257</v>
      </c>
      <c r="I45">
        <v>49.599509840248615</v>
      </c>
      <c r="K45">
        <f t="shared" si="4"/>
        <v>120</v>
      </c>
      <c r="L45">
        <f t="shared" si="15"/>
        <v>82.345846077584227</v>
      </c>
      <c r="M45">
        <v>51.778875267838785</v>
      </c>
      <c r="O45">
        <f t="shared" si="6"/>
        <v>123.47500000000001</v>
      </c>
      <c r="P45">
        <f t="shared" si="16"/>
        <v>69.816836623703594</v>
      </c>
      <c r="Q45">
        <v>46.003540676217554</v>
      </c>
      <c r="S45">
        <f t="shared" si="8"/>
        <v>123.74000000000001</v>
      </c>
      <c r="T45">
        <f t="shared" si="17"/>
        <v>68.997289360816538</v>
      </c>
      <c r="U45">
        <v>45.610444468867676</v>
      </c>
      <c r="W45">
        <f t="shared" si="10"/>
        <v>124.625</v>
      </c>
      <c r="X45">
        <f t="shared" ref="X45:X76" si="18">(($AG$4/((W45/$AJ$4)-$AH$4))-$AI$4)*100</f>
        <v>66.376119133659714</v>
      </c>
      <c r="Y45">
        <v>44.339160511479669</v>
      </c>
      <c r="AA45">
        <f t="shared" si="12"/>
        <v>123.15416666666664</v>
      </c>
      <c r="AB45">
        <f t="shared" si="11"/>
        <v>70.83166654571221</v>
      </c>
      <c r="AC45">
        <v>46.487492954484722</v>
      </c>
    </row>
    <row r="46" spans="1:29" x14ac:dyDescent="0.25">
      <c r="A46" s="4">
        <v>46105.287500289349</v>
      </c>
      <c r="B46" s="8">
        <v>7.2980307685372878</v>
      </c>
      <c r="C46" s="5">
        <v>111</v>
      </c>
      <c r="D46" s="2">
        <f t="shared" si="13"/>
        <v>144.66168557166648</v>
      </c>
      <c r="E46" s="5">
        <v>76.680760970274108</v>
      </c>
      <c r="F46" s="5"/>
      <c r="G46">
        <f t="shared" si="1"/>
        <v>118.325</v>
      </c>
      <c r="H46">
        <f t="shared" si="14"/>
        <v>89.874643353706006</v>
      </c>
      <c r="I46">
        <v>55.267157554352906</v>
      </c>
      <c r="K46">
        <f t="shared" si="4"/>
        <v>120.60000000000001</v>
      </c>
      <c r="L46">
        <f t="shared" si="15"/>
        <v>79.913949094888068</v>
      </c>
      <c r="M46">
        <v>50.86697967424395</v>
      </c>
      <c r="O46">
        <f t="shared" si="6"/>
        <v>119.17500000000001</v>
      </c>
      <c r="P46">
        <f t="shared" si="16"/>
        <v>85.908999169431695</v>
      </c>
      <c r="Q46">
        <v>53.541616723729902</v>
      </c>
      <c r="S46">
        <f t="shared" si="8"/>
        <v>120.63000000000002</v>
      </c>
      <c r="T46">
        <f t="shared" si="17"/>
        <v>79.795658490829922</v>
      </c>
      <c r="U46">
        <v>50.813350942611692</v>
      </c>
      <c r="W46">
        <f t="shared" si="10"/>
        <v>123.51666666666665</v>
      </c>
      <c r="X46">
        <f t="shared" si="18"/>
        <v>69.686873109178791</v>
      </c>
      <c r="Y46">
        <v>46.094171779584919</v>
      </c>
      <c r="AA46">
        <f t="shared" si="12"/>
        <v>122.47499999999997</v>
      </c>
      <c r="AB46">
        <f t="shared" si="11"/>
        <v>73.06577525829681</v>
      </c>
      <c r="AC46">
        <v>47.702940993300416</v>
      </c>
    </row>
    <row r="47" spans="1:29" x14ac:dyDescent="0.25">
      <c r="A47" s="4">
        <v>46105.329861111109</v>
      </c>
      <c r="B47" s="8">
        <v>9.0328170158029018</v>
      </c>
      <c r="C47" s="5">
        <v>120.2</v>
      </c>
      <c r="D47" s="2">
        <f t="shared" si="13"/>
        <v>81.520963215934373</v>
      </c>
      <c r="E47" s="5">
        <v>49.013339718263268</v>
      </c>
      <c r="F47" s="5"/>
      <c r="G47">
        <f t="shared" si="1"/>
        <v>119.95</v>
      </c>
      <c r="H47">
        <f t="shared" si="14"/>
        <v>82.554357753587638</v>
      </c>
      <c r="I47">
        <v>49.441125053652968</v>
      </c>
      <c r="K47">
        <f t="shared" si="4"/>
        <v>119.35000000000001</v>
      </c>
      <c r="L47">
        <f t="shared" si="15"/>
        <v>85.130749621641044</v>
      </c>
      <c r="M47">
        <v>50.496117803474228</v>
      </c>
      <c r="O47">
        <f t="shared" si="6"/>
        <v>118.9</v>
      </c>
      <c r="P47">
        <f t="shared" si="16"/>
        <v>87.157614851730642</v>
      </c>
      <c r="Q47">
        <v>51.314893283545658</v>
      </c>
      <c r="S47">
        <f t="shared" si="8"/>
        <v>121.90000000000002</v>
      </c>
      <c r="T47">
        <f t="shared" si="17"/>
        <v>75.054236862165283</v>
      </c>
      <c r="U47">
        <v>46.272469610543801</v>
      </c>
      <c r="W47">
        <f t="shared" si="10"/>
        <v>122.38333333333334</v>
      </c>
      <c r="X47">
        <f t="shared" si="18"/>
        <v>73.376632229601668</v>
      </c>
      <c r="Y47">
        <v>45.542403083754188</v>
      </c>
      <c r="AA47">
        <f t="shared" si="12"/>
        <v>121.88749999999997</v>
      </c>
      <c r="AB47">
        <f t="shared" si="11"/>
        <v>75.098503356488152</v>
      </c>
      <c r="AC47">
        <v>46.291623345857161</v>
      </c>
    </row>
    <row r="48" spans="1:29" x14ac:dyDescent="0.25">
      <c r="A48" s="4">
        <v>46105.371527777781</v>
      </c>
      <c r="B48" s="8">
        <v>11.521589675128904</v>
      </c>
      <c r="C48" s="5">
        <v>127.7</v>
      </c>
      <c r="D48" s="2">
        <f t="shared" si="13"/>
        <v>58.460764686851178</v>
      </c>
      <c r="E48" s="5">
        <v>36.303743827671632</v>
      </c>
      <c r="F48" s="5"/>
      <c r="G48">
        <f t="shared" si="1"/>
        <v>122.1</v>
      </c>
      <c r="H48">
        <f t="shared" si="14"/>
        <v>74.352077750396688</v>
      </c>
      <c r="I48">
        <v>43.016740829124352</v>
      </c>
      <c r="K48">
        <f t="shared" si="4"/>
        <v>120.2</v>
      </c>
      <c r="L48">
        <f t="shared" si="15"/>
        <v>81.520963215934373</v>
      </c>
      <c r="M48">
        <v>45.782344259346992</v>
      </c>
      <c r="O48">
        <f t="shared" si="6"/>
        <v>121.43750000000001</v>
      </c>
      <c r="P48">
        <f t="shared" si="16"/>
        <v>76.722818247214079</v>
      </c>
      <c r="Q48">
        <v>43.947547542929279</v>
      </c>
      <c r="S48">
        <f t="shared" si="8"/>
        <v>120.13000000000002</v>
      </c>
      <c r="T48">
        <f t="shared" si="17"/>
        <v>81.808017632681</v>
      </c>
      <c r="U48">
        <v>45.890116167753746</v>
      </c>
      <c r="W48">
        <f t="shared" si="10"/>
        <v>121.18333333333335</v>
      </c>
      <c r="X48">
        <f t="shared" si="18"/>
        <v>77.667471381560048</v>
      </c>
      <c r="Y48">
        <v>44.313875799910527</v>
      </c>
      <c r="AA48">
        <f t="shared" si="12"/>
        <v>122.27499999999996</v>
      </c>
      <c r="AB48">
        <f t="shared" si="11"/>
        <v>73.746967934013895</v>
      </c>
      <c r="AC48">
        <v>42.776477702214784</v>
      </c>
    </row>
    <row r="49" spans="1:29" x14ac:dyDescent="0.25">
      <c r="A49" s="4">
        <v>46105.579167361109</v>
      </c>
      <c r="B49" s="8">
        <v>21.230589269027963</v>
      </c>
      <c r="C49" s="5">
        <v>119.5</v>
      </c>
      <c r="D49" s="2">
        <f t="shared" si="13"/>
        <v>84.473509026652835</v>
      </c>
      <c r="E49" s="5">
        <v>37.73071810740803</v>
      </c>
      <c r="F49" s="5"/>
      <c r="G49">
        <f t="shared" si="1"/>
        <v>119.6</v>
      </c>
      <c r="H49">
        <f t="shared" si="14"/>
        <v>84.040293172308409</v>
      </c>
      <c r="I49">
        <v>37.610657446424526</v>
      </c>
      <c r="K49">
        <f t="shared" si="4"/>
        <v>121.16666666666667</v>
      </c>
      <c r="L49">
        <f t="shared" si="15"/>
        <v>77.730123114980316</v>
      </c>
      <c r="M49">
        <v>35.807221096158948</v>
      </c>
      <c r="O49">
        <f t="shared" si="6"/>
        <v>120.41250000000001</v>
      </c>
      <c r="P49">
        <f t="shared" si="16"/>
        <v>80.660267008217915</v>
      </c>
      <c r="Q49">
        <v>36.657621292051864</v>
      </c>
      <c r="S49">
        <f t="shared" si="8"/>
        <v>119.84</v>
      </c>
      <c r="T49">
        <f t="shared" si="17"/>
        <v>83.016360968966964</v>
      </c>
      <c r="U49">
        <v>37.325022345636121</v>
      </c>
      <c r="W49">
        <f t="shared" si="10"/>
        <v>122.18333333333335</v>
      </c>
      <c r="X49">
        <f t="shared" si="18"/>
        <v>74.062862447970474</v>
      </c>
      <c r="Y49">
        <v>34.70952066742452</v>
      </c>
      <c r="AA49">
        <f t="shared" si="12"/>
        <v>121.82916666666665</v>
      </c>
      <c r="AB49">
        <f t="shared" si="11"/>
        <v>75.305680444513371</v>
      </c>
      <c r="AC49">
        <v>35.085799899547268</v>
      </c>
    </row>
    <row r="50" spans="1:29" x14ac:dyDescent="0.25">
      <c r="A50" s="4">
        <v>46105.620834085646</v>
      </c>
      <c r="B50" s="8">
        <v>15.0148822241816</v>
      </c>
      <c r="C50" s="5">
        <v>118.1</v>
      </c>
      <c r="D50" s="2">
        <f t="shared" si="13"/>
        <v>90.979009731176404</v>
      </c>
      <c r="E50" s="5">
        <v>45.04172855574749</v>
      </c>
      <c r="F50" s="5"/>
      <c r="G50">
        <f t="shared" si="1"/>
        <v>121.375</v>
      </c>
      <c r="H50">
        <f t="shared" si="14"/>
        <v>76.953249369184249</v>
      </c>
      <c r="I50">
        <v>40.444961935038293</v>
      </c>
      <c r="K50">
        <f t="shared" si="4"/>
        <v>121</v>
      </c>
      <c r="L50">
        <f t="shared" si="15"/>
        <v>78.361517021517685</v>
      </c>
      <c r="M50">
        <v>40.930286760520538</v>
      </c>
      <c r="O50">
        <f t="shared" si="6"/>
        <v>119.85000000000001</v>
      </c>
      <c r="P50">
        <f t="shared" si="16"/>
        <v>82.974173206645958</v>
      </c>
      <c r="Q50">
        <v>42.481198032525555</v>
      </c>
      <c r="S50">
        <f t="shared" si="8"/>
        <v>120.91</v>
      </c>
      <c r="T50">
        <f t="shared" si="17"/>
        <v>78.70619936663617</v>
      </c>
      <c r="U50">
        <v>41.04821128458763</v>
      </c>
      <c r="W50">
        <f t="shared" si="10"/>
        <v>119.90833333333335</v>
      </c>
      <c r="X50">
        <f t="shared" si="18"/>
        <v>82.728826588926793</v>
      </c>
      <c r="Y50">
        <v>42.400154230738352</v>
      </c>
      <c r="AA50">
        <f t="shared" si="12"/>
        <v>121.64166666666664</v>
      </c>
      <c r="AB50">
        <f t="shared" si="11"/>
        <v>75.978372831189219</v>
      </c>
      <c r="AC50">
        <v>40.105632038534175</v>
      </c>
    </row>
    <row r="51" spans="1:29" x14ac:dyDescent="0.25">
      <c r="A51" s="4">
        <v>46105.662500810184</v>
      </c>
      <c r="B51" s="8">
        <v>19.128159175519809</v>
      </c>
      <c r="C51" s="5">
        <v>118.4</v>
      </c>
      <c r="D51" s="2">
        <f t="shared" si="13"/>
        <v>89.511791725837142</v>
      </c>
      <c r="E51" s="5">
        <v>40.729100262875129</v>
      </c>
      <c r="F51" s="5"/>
      <c r="G51">
        <f t="shared" si="1"/>
        <v>120.92499999999998</v>
      </c>
      <c r="H51">
        <f t="shared" si="14"/>
        <v>78.648568801418648</v>
      </c>
      <c r="I51">
        <v>37.559628724148858</v>
      </c>
      <c r="K51">
        <f t="shared" si="4"/>
        <v>119.14999999999999</v>
      </c>
      <c r="L51">
        <f t="shared" si="15"/>
        <v>86.021202186437662</v>
      </c>
      <c r="M51">
        <v>39.743003698877729</v>
      </c>
      <c r="O51">
        <f t="shared" si="6"/>
        <v>120.4375</v>
      </c>
      <c r="P51">
        <f t="shared" si="16"/>
        <v>80.560054632091777</v>
      </c>
      <c r="Q51">
        <v>38.139429423749235</v>
      </c>
      <c r="S51">
        <f t="shared" si="8"/>
        <v>119.98000000000002</v>
      </c>
      <c r="T51">
        <f t="shared" si="17"/>
        <v>82.429139708262909</v>
      </c>
      <c r="U51">
        <v>38.696908497560763</v>
      </c>
      <c r="W51">
        <f t="shared" si="10"/>
        <v>119.575</v>
      </c>
      <c r="X51">
        <f t="shared" si="18"/>
        <v>84.148230065844814</v>
      </c>
      <c r="Y51">
        <v>39.201623073750028</v>
      </c>
      <c r="AA51">
        <f t="shared" si="12"/>
        <v>121.56249999999999</v>
      </c>
      <c r="AB51">
        <f t="shared" si="11"/>
        <v>76.265539135423055</v>
      </c>
      <c r="AC51">
        <v>36.822647170361989</v>
      </c>
    </row>
    <row r="52" spans="1:29" x14ac:dyDescent="0.25">
      <c r="A52" s="4">
        <v>46105.704167476855</v>
      </c>
      <c r="B52" s="8">
        <v>16.676738515138254</v>
      </c>
      <c r="C52" s="6">
        <v>141.19999999999999</v>
      </c>
      <c r="D52" s="2">
        <f t="shared" si="13"/>
        <v>36.874716314656489</v>
      </c>
      <c r="E52" s="6">
        <v>22.808407464029631</v>
      </c>
      <c r="F52" s="6"/>
      <c r="G52">
        <f t="shared" si="1"/>
        <v>124.3</v>
      </c>
      <c r="H52">
        <f t="shared" si="14"/>
        <v>67.318622479661656</v>
      </c>
      <c r="I52">
        <v>35.645417561312598</v>
      </c>
      <c r="K52">
        <f t="shared" si="4"/>
        <v>124.18333333333332</v>
      </c>
      <c r="L52">
        <f t="shared" si="15"/>
        <v>67.662545923972829</v>
      </c>
      <c r="M52">
        <v>35.7692799885303</v>
      </c>
      <c r="O52">
        <f t="shared" si="6"/>
        <v>123.19999999999999</v>
      </c>
      <c r="P52">
        <f t="shared" si="16"/>
        <v>70.68514278313495</v>
      </c>
      <c r="Q52">
        <v>36.841044415422218</v>
      </c>
      <c r="S52">
        <f t="shared" si="8"/>
        <v>121.84</v>
      </c>
      <c r="T52">
        <f t="shared" si="17"/>
        <v>75.267129778816738</v>
      </c>
      <c r="U52">
        <v>38.410620238361609</v>
      </c>
      <c r="W52">
        <f t="shared" si="10"/>
        <v>122.39166666666667</v>
      </c>
      <c r="X52">
        <f t="shared" si="18"/>
        <v>73.348278099695221</v>
      </c>
      <c r="Y52">
        <v>37.76114681462294</v>
      </c>
      <c r="AA52">
        <f t="shared" si="12"/>
        <v>122.97916666666664</v>
      </c>
      <c r="AB52">
        <f t="shared" si="11"/>
        <v>71.395959615935013</v>
      </c>
      <c r="AC52">
        <v>37.088801773772282</v>
      </c>
    </row>
    <row r="53" spans="1:29" x14ac:dyDescent="0.25">
      <c r="A53" s="4">
        <v>46105.745834201392</v>
      </c>
      <c r="B53" s="8">
        <v>12.33529598019806</v>
      </c>
      <c r="C53" s="6">
        <v>126.6</v>
      </c>
      <c r="D53" s="2">
        <f t="shared" si="13"/>
        <v>61.100454969887139</v>
      </c>
      <c r="E53" s="6">
        <v>36.749670197446896</v>
      </c>
      <c r="F53" s="6"/>
      <c r="G53">
        <f t="shared" si="1"/>
        <v>126.07499999999999</v>
      </c>
      <c r="H53">
        <f t="shared" si="14"/>
        <v>62.431817802856756</v>
      </c>
      <c r="I53">
        <v>37.319201515663039</v>
      </c>
      <c r="K53">
        <f t="shared" si="4"/>
        <v>125.24999999999999</v>
      </c>
      <c r="L53">
        <f t="shared" si="15"/>
        <v>64.625542539563114</v>
      </c>
      <c r="M53">
        <v>38.243333712506015</v>
      </c>
      <c r="O53">
        <f t="shared" si="6"/>
        <v>122.83749999999999</v>
      </c>
      <c r="P53">
        <f t="shared" si="16"/>
        <v>71.858465378196939</v>
      </c>
      <c r="Q53">
        <v>41.171794059596166</v>
      </c>
      <c r="S53">
        <f t="shared" si="8"/>
        <v>123.13</v>
      </c>
      <c r="T53">
        <f t="shared" si="17"/>
        <v>70.909135093152599</v>
      </c>
      <c r="U53">
        <v>40.797298084467542</v>
      </c>
      <c r="W53">
        <f t="shared" si="10"/>
        <v>122.30000000000001</v>
      </c>
      <c r="X53">
        <f t="shared" si="18"/>
        <v>73.6612192983157</v>
      </c>
      <c r="Y53">
        <v>41.875161895934724</v>
      </c>
      <c r="AA53">
        <f t="shared" si="12"/>
        <v>123.52916666666664</v>
      </c>
      <c r="AB53">
        <f t="shared" si="11"/>
        <v>69.647965023834175</v>
      </c>
      <c r="AC53">
        <v>40.295307346946089</v>
      </c>
    </row>
    <row r="54" spans="1:29" x14ac:dyDescent="0.25">
      <c r="A54" s="4">
        <v>46105.788194444445</v>
      </c>
      <c r="B54" s="8">
        <v>9.6685748638350795</v>
      </c>
      <c r="C54" s="6">
        <v>149.9</v>
      </c>
      <c r="D54" s="2">
        <f t="shared" si="13"/>
        <v>28.851264771116412</v>
      </c>
      <c r="E54" s="6">
        <v>21.793700272063958</v>
      </c>
      <c r="F54" s="6"/>
      <c r="G54">
        <f t="shared" si="1"/>
        <v>134.02500000000001</v>
      </c>
      <c r="H54">
        <f t="shared" si="14"/>
        <v>46.363523213781413</v>
      </c>
      <c r="I54">
        <v>31.924869523065851</v>
      </c>
      <c r="K54">
        <f t="shared" si="4"/>
        <v>128.94999999999999</v>
      </c>
      <c r="L54">
        <f t="shared" si="15"/>
        <v>55.6848733465892</v>
      </c>
      <c r="M54">
        <v>36.67953914119385</v>
      </c>
      <c r="O54">
        <f t="shared" si="6"/>
        <v>127.69999999999999</v>
      </c>
      <c r="P54">
        <f t="shared" si="16"/>
        <v>58.460764686851206</v>
      </c>
      <c r="Q54">
        <v>38.022793448786629</v>
      </c>
      <c r="S54">
        <f t="shared" si="8"/>
        <v>126.21</v>
      </c>
      <c r="T54">
        <f t="shared" si="17"/>
        <v>62.084825520123175</v>
      </c>
      <c r="U54">
        <v>39.73095189022056</v>
      </c>
      <c r="W54">
        <f t="shared" si="10"/>
        <v>124.575</v>
      </c>
      <c r="X54">
        <f t="shared" si="18"/>
        <v>66.519649799728072</v>
      </c>
      <c r="Y54">
        <v>41.75567112298085</v>
      </c>
      <c r="AA54">
        <f t="shared" si="12"/>
        <v>124.7375</v>
      </c>
      <c r="AB54">
        <f t="shared" si="11"/>
        <v>66.055098037812456</v>
      </c>
      <c r="AC54">
        <v>41.54680741133987</v>
      </c>
    </row>
    <row r="55" spans="1:29" x14ac:dyDescent="0.25">
      <c r="A55" s="4">
        <v>46105.829861111109</v>
      </c>
      <c r="B55" s="8">
        <v>8.2642078306102036</v>
      </c>
      <c r="C55" s="6">
        <v>117.8</v>
      </c>
      <c r="D55" s="2">
        <f t="shared" si="13"/>
        <v>92.489479288955479</v>
      </c>
      <c r="E55" s="6">
        <v>54.69144754067861</v>
      </c>
      <c r="F55" s="6"/>
      <c r="G55">
        <f t="shared" si="1"/>
        <v>133.87499999999997</v>
      </c>
      <c r="H55">
        <f t="shared" si="14"/>
        <v>46.601783684941168</v>
      </c>
      <c r="I55">
        <v>33.200867049020786</v>
      </c>
      <c r="K55">
        <f t="shared" si="4"/>
        <v>128.66666666666666</v>
      </c>
      <c r="L55">
        <f t="shared" si="15"/>
        <v>56.294593617676981</v>
      </c>
      <c r="M55">
        <v>38.348405774174502</v>
      </c>
      <c r="O55">
        <f t="shared" si="6"/>
        <v>127.39999999999998</v>
      </c>
      <c r="P55">
        <f t="shared" si="16"/>
        <v>59.161452821692031</v>
      </c>
      <c r="Q55">
        <v>39.79470492752877</v>
      </c>
      <c r="S55">
        <f t="shared" si="8"/>
        <v>125.03999999999999</v>
      </c>
      <c r="T55">
        <f t="shared" si="17"/>
        <v>65.204890050983167</v>
      </c>
      <c r="U55">
        <v>42.742649218620834</v>
      </c>
      <c r="W55">
        <f t="shared" si="10"/>
        <v>124.91666666666667</v>
      </c>
      <c r="X55">
        <f t="shared" si="18"/>
        <v>65.549270470389118</v>
      </c>
      <c r="Y55">
        <v>42.906756821161082</v>
      </c>
      <c r="AA55">
        <f t="shared" si="12"/>
        <v>124.14583333333333</v>
      </c>
      <c r="AB55">
        <f t="shared" si="11"/>
        <v>67.773731056521243</v>
      </c>
      <c r="AC55">
        <v>43.957258875293149</v>
      </c>
    </row>
    <row r="56" spans="1:29" x14ac:dyDescent="0.25">
      <c r="A56" s="4">
        <v>46105.871527662035</v>
      </c>
      <c r="B56" s="8">
        <v>8.772962033449609</v>
      </c>
      <c r="C56" s="6">
        <v>119.7</v>
      </c>
      <c r="D56" s="2">
        <f t="shared" si="13"/>
        <v>83.610970738815851</v>
      </c>
      <c r="E56" s="6">
        <v>50.253402849639585</v>
      </c>
      <c r="F56" s="6"/>
      <c r="G56">
        <f t="shared" si="1"/>
        <v>128.5</v>
      </c>
      <c r="H56">
        <f t="shared" si="14"/>
        <v>56.658449931114532</v>
      </c>
      <c r="I56">
        <v>38.02199825316049</v>
      </c>
      <c r="K56">
        <f t="shared" si="4"/>
        <v>128.93333333333334</v>
      </c>
      <c r="L56">
        <f t="shared" si="15"/>
        <v>55.720435493574549</v>
      </c>
      <c r="M56">
        <v>37.55117386260315</v>
      </c>
      <c r="O56">
        <f t="shared" si="6"/>
        <v>126.39999999999999</v>
      </c>
      <c r="P56">
        <f t="shared" si="16"/>
        <v>61.601947750124829</v>
      </c>
      <c r="Q56">
        <v>40.446003600127064</v>
      </c>
      <c r="S56">
        <f t="shared" si="8"/>
        <v>125.91</v>
      </c>
      <c r="T56">
        <f t="shared" si="17"/>
        <v>62.860389397119739</v>
      </c>
      <c r="U56">
        <v>41.04837286251167</v>
      </c>
      <c r="W56">
        <f t="shared" si="10"/>
        <v>124.96666666666665</v>
      </c>
      <c r="X56">
        <f t="shared" si="18"/>
        <v>65.409284759741169</v>
      </c>
      <c r="Y56">
        <v>42.251161624219932</v>
      </c>
      <c r="AA56">
        <f t="shared" si="12"/>
        <v>124.12083333333332</v>
      </c>
      <c r="AB56">
        <f t="shared" si="11"/>
        <v>67.848028153502597</v>
      </c>
      <c r="AC56">
        <v>43.38116877183888</v>
      </c>
    </row>
    <row r="57" spans="1:29" x14ac:dyDescent="0.25">
      <c r="A57" s="4">
        <v>46105.913194270834</v>
      </c>
      <c r="B57" s="8">
        <v>8.3578314344804543</v>
      </c>
      <c r="C57" s="6">
        <v>120.9</v>
      </c>
      <c r="D57" s="2">
        <f t="shared" si="13"/>
        <v>78.744660696808253</v>
      </c>
      <c r="E57" s="6">
        <v>48.784243568763266</v>
      </c>
      <c r="F57" s="6"/>
      <c r="G57">
        <f t="shared" si="1"/>
        <v>127.07499999999999</v>
      </c>
      <c r="H57">
        <f t="shared" si="14"/>
        <v>59.936543934533468</v>
      </c>
      <c r="I57">
        <v>40.079666606734129</v>
      </c>
      <c r="K57">
        <f t="shared" si="4"/>
        <v>129.35</v>
      </c>
      <c r="L57">
        <f t="shared" si="15"/>
        <v>54.842528520946686</v>
      </c>
      <c r="M57">
        <v>37.510992723629023</v>
      </c>
      <c r="O57">
        <f t="shared" si="6"/>
        <v>126.57499999999999</v>
      </c>
      <c r="P57">
        <f t="shared" si="16"/>
        <v>61.162764958095607</v>
      </c>
      <c r="Q57">
        <v>40.682996115483512</v>
      </c>
      <c r="S57">
        <f t="shared" si="8"/>
        <v>125.97999999999999</v>
      </c>
      <c r="T57">
        <f t="shared" si="17"/>
        <v>62.677965800785984</v>
      </c>
      <c r="U57">
        <v>41.420875776716542</v>
      </c>
      <c r="W57">
        <f t="shared" si="10"/>
        <v>124.25</v>
      </c>
      <c r="X57">
        <f t="shared" si="18"/>
        <v>67.465651636530112</v>
      </c>
      <c r="Y57">
        <v>43.699585343418327</v>
      </c>
      <c r="AA57">
        <f t="shared" si="12"/>
        <v>124.4375</v>
      </c>
      <c r="AB57">
        <f t="shared" ref="AB57:AB88" si="19">(($AG$4/((AA57/$AJ$4)-$AH$4))-$AI$4)*100</f>
        <v>66.917101058161506</v>
      </c>
      <c r="AC57">
        <v>43.442421672015172</v>
      </c>
    </row>
    <row r="58" spans="1:29" x14ac:dyDescent="0.25">
      <c r="A58" s="4">
        <v>46105.954860879632</v>
      </c>
      <c r="B58" s="8">
        <v>8.6845177169027075</v>
      </c>
      <c r="C58" s="6">
        <v>113.4</v>
      </c>
      <c r="D58" s="2">
        <f t="shared" si="13"/>
        <v>121.16950929220532</v>
      </c>
      <c r="E58" s="6">
        <v>64.628688222806872</v>
      </c>
      <c r="F58" s="6"/>
      <c r="G58">
        <f t="shared" si="1"/>
        <v>117.94999999999999</v>
      </c>
      <c r="H58">
        <f t="shared" si="14"/>
        <v>91.728719409611628</v>
      </c>
      <c r="I58">
        <v>53.687716223061166</v>
      </c>
      <c r="K58">
        <f t="shared" si="4"/>
        <v>124.71666666666665</v>
      </c>
      <c r="L58">
        <f t="shared" si="15"/>
        <v>66.114346559370247</v>
      </c>
      <c r="M58">
        <v>42.682129815581774</v>
      </c>
      <c r="O58">
        <f t="shared" si="6"/>
        <v>125.9875</v>
      </c>
      <c r="P58">
        <f t="shared" si="16"/>
        <v>62.658473488401143</v>
      </c>
      <c r="Q58">
        <v>41.049070913039529</v>
      </c>
      <c r="S58">
        <f t="shared" si="8"/>
        <v>124.55</v>
      </c>
      <c r="T58">
        <f t="shared" si="17"/>
        <v>66.591613717909809</v>
      </c>
      <c r="U58">
        <v>42.904440088718424</v>
      </c>
      <c r="W58">
        <f t="shared" si="10"/>
        <v>124.45</v>
      </c>
      <c r="X58">
        <f t="shared" si="18"/>
        <v>66.880801871271657</v>
      </c>
      <c r="Y58">
        <v>43.038773415702757</v>
      </c>
      <c r="AA58">
        <f t="shared" si="12"/>
        <v>123.98333333333333</v>
      </c>
      <c r="AB58">
        <f t="shared" si="19"/>
        <v>68.259164461075741</v>
      </c>
      <c r="AC58">
        <v>43.675263516592075</v>
      </c>
    </row>
    <row r="59" spans="1:29" x14ac:dyDescent="0.25">
      <c r="A59" s="4">
        <v>46105.996527488423</v>
      </c>
      <c r="B59" s="8">
        <v>8.362377577536293</v>
      </c>
      <c r="C59" s="6">
        <v>116</v>
      </c>
      <c r="D59" s="2">
        <f t="shared" si="13"/>
        <v>102.57806920806232</v>
      </c>
      <c r="E59" s="6">
        <v>58.492058058849516</v>
      </c>
      <c r="F59" s="6"/>
      <c r="G59">
        <f t="shared" si="1"/>
        <v>117.5</v>
      </c>
      <c r="H59">
        <f t="shared" si="14"/>
        <v>94.045141503398952</v>
      </c>
      <c r="I59">
        <v>55.15002456815423</v>
      </c>
      <c r="K59">
        <f t="shared" si="4"/>
        <v>122.94999999999999</v>
      </c>
      <c r="L59">
        <f t="shared" si="15"/>
        <v>71.490761356040082</v>
      </c>
      <c r="M59">
        <v>45.551456352925399</v>
      </c>
      <c r="O59">
        <f t="shared" si="6"/>
        <v>125.68749999999999</v>
      </c>
      <c r="P59">
        <f t="shared" si="16"/>
        <v>63.446241410515967</v>
      </c>
      <c r="Q59">
        <v>41.78671084950421</v>
      </c>
      <c r="S59">
        <f t="shared" si="8"/>
        <v>124.2</v>
      </c>
      <c r="T59">
        <f t="shared" si="17"/>
        <v>67.613230358293748</v>
      </c>
      <c r="U59">
        <v>43.763112789700507</v>
      </c>
      <c r="W59">
        <f t="shared" si="10"/>
        <v>124.10000000000001</v>
      </c>
      <c r="X59">
        <f t="shared" si="18"/>
        <v>67.910048867714181</v>
      </c>
      <c r="Y59">
        <v>43.90168746970344</v>
      </c>
      <c r="AA59">
        <f t="shared" si="12"/>
        <v>123.24166666666667</v>
      </c>
      <c r="AB59">
        <f t="shared" si="19"/>
        <v>70.552391198860192</v>
      </c>
      <c r="AC59">
        <v>45.122959595823616</v>
      </c>
    </row>
    <row r="60" spans="1:29" x14ac:dyDescent="0.25">
      <c r="A60" s="4">
        <v>46106.038194097222</v>
      </c>
      <c r="B60" s="8">
        <v>7.9698141939834226</v>
      </c>
      <c r="C60" s="6">
        <v>132.6</v>
      </c>
      <c r="D60" s="2">
        <f t="shared" si="13"/>
        <v>48.709092228000429</v>
      </c>
      <c r="E60" s="6">
        <v>34.618030476943204</v>
      </c>
      <c r="F60" s="6"/>
      <c r="G60">
        <f t="shared" si="1"/>
        <v>120.72499999999999</v>
      </c>
      <c r="H60">
        <f t="shared" si="14"/>
        <v>79.423082999835799</v>
      </c>
      <c r="I60">
        <v>49.639231101147409</v>
      </c>
      <c r="K60">
        <f t="shared" si="4"/>
        <v>120.06666666666666</v>
      </c>
      <c r="L60">
        <f t="shared" si="15"/>
        <v>82.069264398533562</v>
      </c>
      <c r="M60">
        <v>50.796461215337715</v>
      </c>
      <c r="O60">
        <f t="shared" si="6"/>
        <v>124.6125</v>
      </c>
      <c r="P60">
        <f t="shared" si="16"/>
        <v>66.411952268108664</v>
      </c>
      <c r="Q60">
        <v>43.670307536204959</v>
      </c>
      <c r="S60">
        <f t="shared" si="8"/>
        <v>125.65</v>
      </c>
      <c r="T60">
        <f t="shared" si="17"/>
        <v>63.54589075374232</v>
      </c>
      <c r="U60">
        <v>42.285226760495142</v>
      </c>
      <c r="W60">
        <f t="shared" si="10"/>
        <v>124.50833333333333</v>
      </c>
      <c r="X60">
        <f t="shared" si="18"/>
        <v>66.71184905008424</v>
      </c>
      <c r="Y60">
        <v>43.813648473581878</v>
      </c>
      <c r="AA60">
        <f t="shared" si="12"/>
        <v>122.84583333333336</v>
      </c>
      <c r="AB60">
        <f t="shared" si="19"/>
        <v>71.831116339671766</v>
      </c>
      <c r="AC60">
        <v>46.216493635564149</v>
      </c>
    </row>
    <row r="61" spans="1:29" x14ac:dyDescent="0.25">
      <c r="A61" s="4">
        <v>46106.079860706021</v>
      </c>
      <c r="B61" s="8">
        <v>8.2081291048304923</v>
      </c>
      <c r="C61" s="6">
        <v>112.7</v>
      </c>
      <c r="D61" s="2">
        <f t="shared" si="13"/>
        <v>127.25776459931619</v>
      </c>
      <c r="E61" s="6">
        <v>67.889747932154734</v>
      </c>
      <c r="F61" s="6"/>
      <c r="G61">
        <f t="shared" si="1"/>
        <v>118.675</v>
      </c>
      <c r="H61">
        <f t="shared" si="14"/>
        <v>88.203271096262</v>
      </c>
      <c r="I61">
        <v>53.027112327337363</v>
      </c>
      <c r="K61">
        <f t="shared" si="4"/>
        <v>119.21666666666668</v>
      </c>
      <c r="L61">
        <f t="shared" si="15"/>
        <v>85.722566799318628</v>
      </c>
      <c r="M61">
        <v>51.990539189206764</v>
      </c>
      <c r="O61">
        <f t="shared" si="6"/>
        <v>122.875</v>
      </c>
      <c r="P61">
        <f t="shared" si="16"/>
        <v>71.735535866428052</v>
      </c>
      <c r="Q61">
        <v>45.861556789644922</v>
      </c>
      <c r="S61">
        <f t="shared" si="8"/>
        <v>125.08</v>
      </c>
      <c r="T61">
        <f t="shared" si="17"/>
        <v>65.09385927014182</v>
      </c>
      <c r="U61">
        <v>42.755318808278439</v>
      </c>
      <c r="W61">
        <f t="shared" si="10"/>
        <v>123.94166666666666</v>
      </c>
      <c r="X61">
        <f t="shared" si="18"/>
        <v>68.384593698879556</v>
      </c>
      <c r="Y61">
        <v>44.311929206320549</v>
      </c>
      <c r="AA61">
        <f t="shared" si="12"/>
        <v>123.0625</v>
      </c>
      <c r="AB61">
        <f t="shared" si="19"/>
        <v>71.126287058803783</v>
      </c>
      <c r="AC61">
        <v>45.582371284375775</v>
      </c>
    </row>
    <row r="62" spans="1:29" x14ac:dyDescent="0.25">
      <c r="A62" s="4">
        <v>46106.121527314812</v>
      </c>
      <c r="B62" s="8">
        <v>9.0105869880659082</v>
      </c>
      <c r="C62" s="6">
        <v>120.6</v>
      </c>
      <c r="D62" s="2">
        <f t="shared" si="13"/>
        <v>79.913949094888125</v>
      </c>
      <c r="E62" s="6">
        <v>48.37325105446547</v>
      </c>
      <c r="F62" s="6"/>
      <c r="G62">
        <f t="shared" si="1"/>
        <v>120.47499999999999</v>
      </c>
      <c r="H62">
        <f t="shared" si="14"/>
        <v>80.410144032503837</v>
      </c>
      <c r="I62">
        <v>48.58124288554486</v>
      </c>
      <c r="K62">
        <f t="shared" si="4"/>
        <v>119.36666666666667</v>
      </c>
      <c r="L62">
        <f t="shared" si="15"/>
        <v>85.057278695544497</v>
      </c>
      <c r="M62">
        <v>50.498893086009829</v>
      </c>
      <c r="O62">
        <f t="shared" si="6"/>
        <v>119.21250000000001</v>
      </c>
      <c r="P62">
        <f t="shared" si="16"/>
        <v>85.74117791679879</v>
      </c>
      <c r="Q62">
        <v>50.776639462055904</v>
      </c>
      <c r="S62">
        <f t="shared" si="8"/>
        <v>123.01999999999998</v>
      </c>
      <c r="T62">
        <f t="shared" si="17"/>
        <v>71.263600465367034</v>
      </c>
      <c r="U62">
        <v>44.638188596984904</v>
      </c>
      <c r="W62">
        <f t="shared" si="10"/>
        <v>124.14999999999999</v>
      </c>
      <c r="X62">
        <f t="shared" si="18"/>
        <v>67.761361731963532</v>
      </c>
      <c r="Y62">
        <v>43.062559314846368</v>
      </c>
      <c r="AA62">
        <f t="shared" si="12"/>
        <v>122.02916666666665</v>
      </c>
      <c r="AB62">
        <f t="shared" si="19"/>
        <v>74.599452448909148</v>
      </c>
      <c r="AC62">
        <v>46.10386154674368</v>
      </c>
    </row>
    <row r="63" spans="1:29" x14ac:dyDescent="0.25">
      <c r="A63" s="4">
        <v>46106.16319392361</v>
      </c>
      <c r="B63" s="8">
        <v>8.9153541152891567</v>
      </c>
      <c r="C63" s="6">
        <v>120.2</v>
      </c>
      <c r="D63" s="2">
        <f t="shared" si="13"/>
        <v>81.520963215934373</v>
      </c>
      <c r="E63" s="6">
        <v>49.17880586959312</v>
      </c>
      <c r="F63" s="6"/>
      <c r="G63">
        <f t="shared" si="1"/>
        <v>121.52499999999999</v>
      </c>
      <c r="H63">
        <f t="shared" si="14"/>
        <v>76.402224355447672</v>
      </c>
      <c r="I63">
        <v>47.00798763717755</v>
      </c>
      <c r="K63">
        <f t="shared" si="4"/>
        <v>119.25</v>
      </c>
      <c r="L63">
        <f t="shared" si="15"/>
        <v>85.573933931855279</v>
      </c>
      <c r="M63">
        <v>50.850086174189777</v>
      </c>
      <c r="O63">
        <f t="shared" si="6"/>
        <v>119.51250000000002</v>
      </c>
      <c r="P63">
        <f t="shared" si="16"/>
        <v>84.419142314182722</v>
      </c>
      <c r="Q63">
        <v>50.37797664794509</v>
      </c>
      <c r="S63">
        <f t="shared" si="8"/>
        <v>122.38</v>
      </c>
      <c r="T63">
        <f t="shared" si="17"/>
        <v>73.387979188400749</v>
      </c>
      <c r="U63">
        <v>45.695914469205718</v>
      </c>
      <c r="W63">
        <f t="shared" si="10"/>
        <v>124.3</v>
      </c>
      <c r="X63">
        <f t="shared" si="18"/>
        <v>67.318622479661656</v>
      </c>
      <c r="Y63">
        <v>42.971109148185334</v>
      </c>
      <c r="AA63">
        <f t="shared" si="12"/>
        <v>121.93749999999999</v>
      </c>
      <c r="AB63">
        <f t="shared" si="19"/>
        <v>74.921708495500908</v>
      </c>
      <c r="AC63">
        <v>46.366786750688519</v>
      </c>
    </row>
    <row r="64" spans="1:29" x14ac:dyDescent="0.25">
      <c r="A64" s="4">
        <v>46106.20416666667</v>
      </c>
      <c r="B64" s="8">
        <v>9.3405571170052966</v>
      </c>
      <c r="C64" s="6">
        <v>120.4</v>
      </c>
      <c r="D64" s="2">
        <f t="shared" si="13"/>
        <v>80.710455055801347</v>
      </c>
      <c r="E64" s="6">
        <v>48.252708573547999</v>
      </c>
      <c r="F64" s="6"/>
      <c r="G64">
        <f t="shared" si="1"/>
        <v>118.47499999999999</v>
      </c>
      <c r="H64">
        <f t="shared" si="14"/>
        <v>89.151528353239769</v>
      </c>
      <c r="I64">
        <v>51.641491386023432</v>
      </c>
      <c r="K64">
        <f t="shared" si="4"/>
        <v>120.41666666666667</v>
      </c>
      <c r="L64">
        <f t="shared" si="15"/>
        <v>80.643549797358844</v>
      </c>
      <c r="M64">
        <v>48.225141327453194</v>
      </c>
      <c r="O64">
        <f t="shared" si="6"/>
        <v>119.60000000000001</v>
      </c>
      <c r="P64">
        <f t="shared" si="16"/>
        <v>84.040293172308353</v>
      </c>
      <c r="Q64">
        <v>49.610246652324079</v>
      </c>
      <c r="S64">
        <f t="shared" si="8"/>
        <v>119.43000000000002</v>
      </c>
      <c r="T64">
        <f t="shared" si="17"/>
        <v>84.779105161951591</v>
      </c>
      <c r="U64">
        <v>49.907698488035152</v>
      </c>
      <c r="W64">
        <f t="shared" si="10"/>
        <v>122.56666666666666</v>
      </c>
      <c r="X64">
        <f t="shared" si="18"/>
        <v>72.757186978263519</v>
      </c>
      <c r="Y64">
        <v>44.889866909241412</v>
      </c>
      <c r="AA64">
        <f t="shared" si="12"/>
        <v>122.47916666666664</v>
      </c>
      <c r="AB64">
        <f t="shared" si="19"/>
        <v>73.051699489238317</v>
      </c>
      <c r="AC64">
        <v>45.017624477830424</v>
      </c>
    </row>
    <row r="65" spans="1:29" x14ac:dyDescent="0.25">
      <c r="A65" s="4">
        <v>46106.245833333334</v>
      </c>
      <c r="B65" s="8">
        <v>8.3978013132539377</v>
      </c>
      <c r="C65" s="6">
        <v>129.30000000000001</v>
      </c>
      <c r="D65" s="2">
        <f t="shared" si="13"/>
        <v>54.946664692895119</v>
      </c>
      <c r="E65" s="6">
        <v>37.525217216015541</v>
      </c>
      <c r="F65" s="6"/>
      <c r="G65">
        <f t="shared" si="1"/>
        <v>122.62500000000001</v>
      </c>
      <c r="H65">
        <f t="shared" si="14"/>
        <v>72.561982500267746</v>
      </c>
      <c r="I65">
        <v>45.991457025166397</v>
      </c>
      <c r="K65">
        <f t="shared" si="4"/>
        <v>122.63333333333333</v>
      </c>
      <c r="L65">
        <f t="shared" si="15"/>
        <v>72.534169957557538</v>
      </c>
      <c r="M65">
        <v>45.978902097407598</v>
      </c>
      <c r="O65">
        <f t="shared" si="6"/>
        <v>120.65</v>
      </c>
      <c r="P65">
        <f t="shared" si="16"/>
        <v>79.716968018503593</v>
      </c>
      <c r="Q65">
        <v>49.148689860413953</v>
      </c>
      <c r="S65">
        <f t="shared" si="8"/>
        <v>120.58000000000001</v>
      </c>
      <c r="T65">
        <f t="shared" si="17"/>
        <v>79.992979942161867</v>
      </c>
      <c r="U65">
        <v>49.267718252513909</v>
      </c>
      <c r="W65">
        <f t="shared" si="10"/>
        <v>122.79166666666667</v>
      </c>
      <c r="X65">
        <f t="shared" si="18"/>
        <v>72.00920655798889</v>
      </c>
      <c r="Y65">
        <v>45.741496793431104</v>
      </c>
      <c r="AA65">
        <f t="shared" si="12"/>
        <v>122.54583333333333</v>
      </c>
      <c r="AB65">
        <f t="shared" si="19"/>
        <v>72.827122754429396</v>
      </c>
      <c r="AC65">
        <v>46.11103005657489</v>
      </c>
    </row>
    <row r="66" spans="1:29" x14ac:dyDescent="0.25">
      <c r="A66" s="4">
        <v>46106.287499999999</v>
      </c>
      <c r="B66" s="8">
        <v>8.1419600614592635</v>
      </c>
      <c r="C66" s="6">
        <v>113.6</v>
      </c>
      <c r="D66" s="2">
        <f t="shared" ref="D66:D97" si="20">(($AG$4/((C66/$AJ$4)-$AH$4))-$AI$4)*100</f>
        <v>119.52692350414497</v>
      </c>
      <c r="E66" s="6">
        <v>65.279347156869306</v>
      </c>
      <c r="F66" s="6"/>
      <c r="G66">
        <f t="shared" si="1"/>
        <v>120.875</v>
      </c>
      <c r="H66">
        <f t="shared" si="14"/>
        <v>78.840957664899506</v>
      </c>
      <c r="I66">
        <v>49.13380478620585</v>
      </c>
      <c r="K66">
        <f t="shared" si="4"/>
        <v>119.46666666666668</v>
      </c>
      <c r="L66">
        <f t="shared" si="15"/>
        <v>84.618788683977257</v>
      </c>
      <c r="M66">
        <v>51.627084591025927</v>
      </c>
      <c r="O66">
        <f t="shared" si="6"/>
        <v>120.675</v>
      </c>
      <c r="P66">
        <f t="shared" si="16"/>
        <v>79.61879548252459</v>
      </c>
      <c r="Q66">
        <v>49.474317439569397</v>
      </c>
      <c r="S66">
        <f t="shared" si="8"/>
        <v>119.97</v>
      </c>
      <c r="T66">
        <f t="shared" si="17"/>
        <v>82.470841994164687</v>
      </c>
      <c r="U66">
        <v>50.709754404451303</v>
      </c>
      <c r="W66">
        <f t="shared" si="10"/>
        <v>119.76666666666667</v>
      </c>
      <c r="X66">
        <f t="shared" si="18"/>
        <v>83.326892952775751</v>
      </c>
      <c r="Y66">
        <v>51.076669576602065</v>
      </c>
      <c r="AA66">
        <f t="shared" si="12"/>
        <v>122.17083333333333</v>
      </c>
      <c r="AB66">
        <f t="shared" si="19"/>
        <v>74.10612045756055</v>
      </c>
      <c r="AC66">
        <v>47.026225877789365</v>
      </c>
    </row>
    <row r="67" spans="1:29" x14ac:dyDescent="0.25">
      <c r="A67" s="4">
        <v>46106.329861111109</v>
      </c>
      <c r="B67" s="8">
        <v>9.2610284964440766</v>
      </c>
      <c r="C67" s="6">
        <v>143.5</v>
      </c>
      <c r="D67" s="2">
        <f t="shared" si="20"/>
        <v>34.458802855664779</v>
      </c>
      <c r="E67" s="6">
        <v>25.472467972736329</v>
      </c>
      <c r="F67" s="6"/>
      <c r="G67">
        <f t="shared" si="1"/>
        <v>126.7</v>
      </c>
      <c r="H67">
        <f t="shared" si="14"/>
        <v>60.852280008925497</v>
      </c>
      <c r="I67">
        <v>39.572588635408827</v>
      </c>
      <c r="K67">
        <f t="shared" si="4"/>
        <v>124.60000000000001</v>
      </c>
      <c r="L67">
        <f t="shared" si="15"/>
        <v>66.447818393534064</v>
      </c>
      <c r="M67">
        <v>42.177206079662149</v>
      </c>
      <c r="O67">
        <f t="shared" si="6"/>
        <v>124.1125</v>
      </c>
      <c r="P67">
        <f t="shared" si="16"/>
        <v>67.872824810116754</v>
      </c>
      <c r="Q67">
        <v>42.823162508391746</v>
      </c>
      <c r="S67">
        <f t="shared" si="8"/>
        <v>122.22999999999999</v>
      </c>
      <c r="T67">
        <f t="shared" si="17"/>
        <v>73.901751422506209</v>
      </c>
      <c r="U67">
        <v>45.484210293929202</v>
      </c>
      <c r="W67">
        <f t="shared" si="10"/>
        <v>121.90833333333335</v>
      </c>
      <c r="X67">
        <f t="shared" si="18"/>
        <v>75.024750999242912</v>
      </c>
      <c r="Y67">
        <v>45.967698197028248</v>
      </c>
      <c r="AA67">
        <f t="shared" si="12"/>
        <v>123.41250000000001</v>
      </c>
      <c r="AB67">
        <f t="shared" si="19"/>
        <v>70.012563941718867</v>
      </c>
      <c r="AC67">
        <v>43.780615910898092</v>
      </c>
    </row>
    <row r="68" spans="1:29" x14ac:dyDescent="0.25">
      <c r="A68" s="4">
        <v>46106.538194675923</v>
      </c>
      <c r="B68" s="8">
        <v>10.104852088672915</v>
      </c>
      <c r="C68" s="6">
        <v>181.3</v>
      </c>
      <c r="D68" s="2">
        <f t="shared" si="20"/>
        <v>13.741268112706894</v>
      </c>
      <c r="E68" s="6">
        <v>-26.551528586728502</v>
      </c>
      <c r="F68" s="6"/>
      <c r="G68">
        <f t="shared" si="1"/>
        <v>141.92500000000001</v>
      </c>
      <c r="H68">
        <f t="shared" si="14"/>
        <v>36.086212183577246</v>
      </c>
      <c r="I68">
        <v>25.91438214777526</v>
      </c>
      <c r="K68">
        <f t="shared" si="4"/>
        <v>134.71666666666667</v>
      </c>
      <c r="L68">
        <f t="shared" si="15"/>
        <v>45.289688097998571</v>
      </c>
      <c r="M68">
        <v>31.01846277952464</v>
      </c>
      <c r="O68">
        <f t="shared" si="6"/>
        <v>130.20000000000002</v>
      </c>
      <c r="P68">
        <f t="shared" si="16"/>
        <v>53.120857920173634</v>
      </c>
      <c r="Q68">
        <v>35.025984796530864</v>
      </c>
      <c r="S68">
        <f t="shared" si="8"/>
        <v>129.02000000000001</v>
      </c>
      <c r="T68">
        <f t="shared" si="17"/>
        <v>55.535922309885542</v>
      </c>
      <c r="U68">
        <v>36.20605423479752</v>
      </c>
      <c r="W68">
        <f t="shared" si="10"/>
        <v>127.04166666666667</v>
      </c>
      <c r="X68">
        <f t="shared" si="18"/>
        <v>60.017002981794676</v>
      </c>
      <c r="Y68">
        <v>38.33187865087335</v>
      </c>
      <c r="AA68">
        <f t="shared" si="12"/>
        <v>126.00416666666666</v>
      </c>
      <c r="AB68">
        <f t="shared" si="19"/>
        <v>62.615193894334496</v>
      </c>
      <c r="AC68">
        <v>39.52865771018292</v>
      </c>
    </row>
    <row r="69" spans="1:29" x14ac:dyDescent="0.25">
      <c r="A69" s="4">
        <v>46106.579861342594</v>
      </c>
      <c r="B69" s="8">
        <v>10.984794103094844</v>
      </c>
      <c r="C69" s="6">
        <v>134.6</v>
      </c>
      <c r="D69" s="2">
        <f t="shared" si="20"/>
        <v>45.468013720575861</v>
      </c>
      <c r="E69" s="6">
        <v>30.46107346623657</v>
      </c>
      <c r="F69" s="6"/>
      <c r="G69">
        <f t="shared" ref="G69:G125" si="21">AVERAGE(C66:C69)</f>
        <v>143.25</v>
      </c>
      <c r="H69">
        <f t="shared" ref="H69:H100" si="22">(($AG$4/((G69/$AJ$4)-$AH$4))-$AI$4)*100</f>
        <v>34.709649205820511</v>
      </c>
      <c r="I69">
        <v>24.597365175770982</v>
      </c>
      <c r="K69">
        <f t="shared" si="4"/>
        <v>137.11666666666667</v>
      </c>
      <c r="L69">
        <f t="shared" si="15"/>
        <v>41.853997192867652</v>
      </c>
      <c r="M69">
        <v>28.560128160006681</v>
      </c>
      <c r="O69">
        <f t="shared" si="6"/>
        <v>132.9375</v>
      </c>
      <c r="P69">
        <f t="shared" si="16"/>
        <v>48.136540542412746</v>
      </c>
      <c r="Q69">
        <v>31.822746708234291</v>
      </c>
      <c r="S69">
        <f t="shared" si="8"/>
        <v>130.88</v>
      </c>
      <c r="T69">
        <f t="shared" si="17"/>
        <v>51.806551327562232</v>
      </c>
      <c r="U69">
        <v>33.640286053566648</v>
      </c>
      <c r="W69">
        <f t="shared" si="10"/>
        <v>128.18333333333331</v>
      </c>
      <c r="X69">
        <f t="shared" si="18"/>
        <v>57.36064788335856</v>
      </c>
      <c r="Y69">
        <v>36.27740229025985</v>
      </c>
      <c r="AA69">
        <f t="shared" si="12"/>
        <v>126.21666666666668</v>
      </c>
      <c r="AB69">
        <f t="shared" si="19"/>
        <v>62.067774474277073</v>
      </c>
      <c r="AC69">
        <v>38.413837006065961</v>
      </c>
    </row>
    <row r="70" spans="1:29" x14ac:dyDescent="0.25">
      <c r="A70" s="4">
        <v>46106.621528067131</v>
      </c>
      <c r="B70" s="8">
        <v>11.104462905512731</v>
      </c>
      <c r="C70" s="6">
        <v>122.2</v>
      </c>
      <c r="D70" s="2">
        <f t="shared" si="20"/>
        <v>74.005253061520705</v>
      </c>
      <c r="E70" s="6">
        <v>43.34183841285202</v>
      </c>
      <c r="F70" s="6"/>
      <c r="G70">
        <f t="shared" si="21"/>
        <v>145.4</v>
      </c>
      <c r="H70">
        <f t="shared" si="22"/>
        <v>32.637845251095499</v>
      </c>
      <c r="I70">
        <v>23.33016315318546</v>
      </c>
      <c r="K70">
        <f t="shared" si="4"/>
        <v>137.41666666666669</v>
      </c>
      <c r="L70">
        <f t="shared" si="15"/>
        <v>41.453545935215665</v>
      </c>
      <c r="M70">
        <v>28.265568837312838</v>
      </c>
      <c r="O70">
        <f t="shared" si="6"/>
        <v>133.13749999999999</v>
      </c>
      <c r="P70">
        <f t="shared" si="16"/>
        <v>47.802360264761631</v>
      </c>
      <c r="Q70">
        <v>31.563664576191691</v>
      </c>
      <c r="S70">
        <f t="shared" si="8"/>
        <v>129.84</v>
      </c>
      <c r="T70">
        <f t="shared" si="17"/>
        <v>53.839006231464651</v>
      </c>
      <c r="U70">
        <v>34.520054813878858</v>
      </c>
      <c r="W70">
        <f t="shared" si="10"/>
        <v>128.91666666666666</v>
      </c>
      <c r="X70">
        <f t="shared" si="18"/>
        <v>55.75603530785024</v>
      </c>
      <c r="Y70">
        <v>35.425139844211543</v>
      </c>
      <c r="AA70">
        <f t="shared" si="12"/>
        <v>126.68333333333334</v>
      </c>
      <c r="AB70">
        <f t="shared" si="19"/>
        <v>60.893524608450925</v>
      </c>
      <c r="AC70">
        <v>37.77642787814564</v>
      </c>
    </row>
    <row r="71" spans="1:29" x14ac:dyDescent="0.25">
      <c r="A71" s="4">
        <v>46106.663194791669</v>
      </c>
      <c r="B71" s="8">
        <v>11.732767407416366</v>
      </c>
      <c r="C71" s="6">
        <v>102.5</v>
      </c>
      <c r="D71" s="2">
        <f t="shared" si="20"/>
        <v>407.31362839144907</v>
      </c>
      <c r="E71" s="6">
        <v>113.3216292815233</v>
      </c>
      <c r="F71" s="6"/>
      <c r="G71">
        <f t="shared" si="21"/>
        <v>135.14999999999998</v>
      </c>
      <c r="H71">
        <f t="shared" si="22"/>
        <v>44.636997792121782</v>
      </c>
      <c r="I71">
        <v>29.505711160161617</v>
      </c>
      <c r="K71">
        <f t="shared" si="4"/>
        <v>132.95000000000002</v>
      </c>
      <c r="L71">
        <f t="shared" ref="L71:L102" si="23">(($AG$4/((K71/$AJ$4)-$AH$4))-$AI$4)*100</f>
        <v>48.115543971884257</v>
      </c>
      <c r="M71">
        <v>31.252220497696431</v>
      </c>
      <c r="O71">
        <f t="shared" si="6"/>
        <v>130.92500000000001</v>
      </c>
      <c r="P71">
        <f t="shared" si="16"/>
        <v>51.721458671517553</v>
      </c>
      <c r="Q71">
        <v>33.00187023940196</v>
      </c>
      <c r="S71">
        <f t="shared" si="8"/>
        <v>128.82</v>
      </c>
      <c r="T71">
        <f t="shared" si="17"/>
        <v>55.963260107469615</v>
      </c>
      <c r="U71">
        <v>34.98568507815655</v>
      </c>
      <c r="W71">
        <f t="shared" si="10"/>
        <v>127.79166666666667</v>
      </c>
      <c r="X71">
        <f t="shared" si="18"/>
        <v>58.24942890183916</v>
      </c>
      <c r="Y71">
        <v>36.023443718886874</v>
      </c>
      <c r="AA71">
        <f t="shared" si="12"/>
        <v>125.94583333333333</v>
      </c>
      <c r="AB71">
        <f t="shared" si="19"/>
        <v>62.766893936803449</v>
      </c>
      <c r="AC71">
        <v>38.013378450205273</v>
      </c>
    </row>
    <row r="72" spans="1:29" x14ac:dyDescent="0.25">
      <c r="A72" s="4">
        <v>46106.704861516206</v>
      </c>
      <c r="B72" s="8">
        <v>10.937041568311219</v>
      </c>
      <c r="C72" s="6">
        <v>113.5</v>
      </c>
      <c r="D72" s="2">
        <f t="shared" si="20"/>
        <v>120.34310050024175</v>
      </c>
      <c r="E72" s="6">
        <v>59.770937619114704</v>
      </c>
      <c r="F72" s="6"/>
      <c r="G72">
        <f t="shared" si="21"/>
        <v>118.2</v>
      </c>
      <c r="H72">
        <f t="shared" si="22"/>
        <v>90.485223958532274</v>
      </c>
      <c r="I72">
        <v>49.839842411763499</v>
      </c>
      <c r="K72">
        <f t="shared" ref="K72:K125" si="24">AVERAGE(C67:C72)</f>
        <v>132.93333333333334</v>
      </c>
      <c r="L72">
        <f t="shared" si="23"/>
        <v>48.143542686300854</v>
      </c>
      <c r="M72">
        <v>31.862746333015942</v>
      </c>
      <c r="O72">
        <f t="shared" si="6"/>
        <v>130.0625</v>
      </c>
      <c r="P72">
        <f t="shared" si="16"/>
        <v>53.393279519886249</v>
      </c>
      <c r="Q72">
        <v>34.447200113289931</v>
      </c>
      <c r="S72">
        <f t="shared" si="8"/>
        <v>128.10999999999999</v>
      </c>
      <c r="T72">
        <f t="shared" si="17"/>
        <v>57.525330372651304</v>
      </c>
      <c r="U72">
        <v>36.39641770189337</v>
      </c>
      <c r="W72">
        <f t="shared" si="10"/>
        <v>126.2</v>
      </c>
      <c r="X72">
        <f t="shared" si="18"/>
        <v>62.110416913960641</v>
      </c>
      <c r="Y72">
        <v>38.478707061526215</v>
      </c>
      <c r="AA72">
        <f t="shared" si="12"/>
        <v>125.35416666666667</v>
      </c>
      <c r="AB72">
        <f t="shared" si="19"/>
        <v>64.341402835495799</v>
      </c>
      <c r="AC72">
        <v>39.463177499389559</v>
      </c>
    </row>
    <row r="73" spans="1:29" x14ac:dyDescent="0.25">
      <c r="A73" s="4">
        <v>46106.746528240743</v>
      </c>
      <c r="B73" s="8">
        <v>10.147845815403604</v>
      </c>
      <c r="C73" s="6">
        <v>112.7</v>
      </c>
      <c r="D73" s="2">
        <f t="shared" si="20"/>
        <v>127.25776459931619</v>
      </c>
      <c r="E73" s="6">
        <v>63.460986700594709</v>
      </c>
      <c r="F73" s="6"/>
      <c r="G73">
        <f t="shared" si="21"/>
        <v>112.72499999999999</v>
      </c>
      <c r="H73">
        <f t="shared" si="22"/>
        <v>127.03072072160336</v>
      </c>
      <c r="I73">
        <v>63.390308368229611</v>
      </c>
      <c r="K73">
        <f t="shared" si="24"/>
        <v>127.8</v>
      </c>
      <c r="L73">
        <f t="shared" si="23"/>
        <v>58.230279852566269</v>
      </c>
      <c r="M73">
        <v>37.45315919781266</v>
      </c>
      <c r="O73">
        <f t="shared" si="6"/>
        <v>127.98750000000001</v>
      </c>
      <c r="P73">
        <f t="shared" ref="P73:P104" si="25">(($AG$4/((O73/$AJ$4)-$AH$4))-$AI$4)*100</f>
        <v>57.802188918314066</v>
      </c>
      <c r="Q73">
        <v>37.250787590933584</v>
      </c>
      <c r="S73">
        <f t="shared" si="8"/>
        <v>127.36000000000001</v>
      </c>
      <c r="T73">
        <f t="shared" si="17"/>
        <v>59.255939777236854</v>
      </c>
      <c r="U73">
        <v>37.935065740167168</v>
      </c>
      <c r="W73">
        <f t="shared" si="10"/>
        <v>126.2</v>
      </c>
      <c r="X73">
        <f t="shared" si="18"/>
        <v>62.110416913960641</v>
      </c>
      <c r="Y73">
        <v>39.25487037738533</v>
      </c>
      <c r="AA73">
        <f t="shared" si="12"/>
        <v>125.07083333333333</v>
      </c>
      <c r="AB73">
        <f t="shared" si="19"/>
        <v>65.119275423991866</v>
      </c>
      <c r="AC73">
        <v>40.613420030651532</v>
      </c>
    </row>
    <row r="74" spans="1:29" x14ac:dyDescent="0.25">
      <c r="A74" s="4">
        <v>46106.788888888892</v>
      </c>
      <c r="B74" s="8">
        <v>9.3292663667621465</v>
      </c>
      <c r="C74" s="6">
        <v>121.1</v>
      </c>
      <c r="D74" s="2">
        <f t="shared" si="20"/>
        <v>77.98161294972266</v>
      </c>
      <c r="E74" s="6">
        <v>47.133553368561046</v>
      </c>
      <c r="F74" s="6"/>
      <c r="G74">
        <f t="shared" si="21"/>
        <v>112.44999999999999</v>
      </c>
      <c r="H74">
        <f t="shared" si="22"/>
        <v>129.56981771470922</v>
      </c>
      <c r="I74">
        <v>65.991811978164321</v>
      </c>
      <c r="K74">
        <f t="shared" si="24"/>
        <v>117.76666666666667</v>
      </c>
      <c r="L74">
        <f t="shared" si="23"/>
        <v>92.660062300870209</v>
      </c>
      <c r="M74">
        <v>53.019176639227879</v>
      </c>
      <c r="O74">
        <f t="shared" ref="O74:O125" si="26">AVERAGE(C67:C74)</f>
        <v>128.92500000000001</v>
      </c>
      <c r="P74">
        <f t="shared" si="25"/>
        <v>55.738230688561721</v>
      </c>
      <c r="Q74">
        <v>37.024634090514233</v>
      </c>
      <c r="S74">
        <f t="shared" si="8"/>
        <v>127.42999999999999</v>
      </c>
      <c r="T74">
        <f t="shared" si="17"/>
        <v>59.090753046881304</v>
      </c>
      <c r="U74">
        <v>38.660345453557234</v>
      </c>
      <c r="W74">
        <f t="shared" si="10"/>
        <v>126.24166666666666</v>
      </c>
      <c r="X74">
        <f t="shared" si="18"/>
        <v>62.00390336953383</v>
      </c>
      <c r="Y74">
        <v>40.046112689376926</v>
      </c>
      <c r="AA74">
        <f t="shared" si="12"/>
        <v>125.19583333333333</v>
      </c>
      <c r="AB74">
        <f t="shared" si="19"/>
        <v>64.774138231791156</v>
      </c>
      <c r="AC74">
        <v>41.334911544409294</v>
      </c>
    </row>
    <row r="75" spans="1:29" x14ac:dyDescent="0.25">
      <c r="A75" s="4">
        <v>46106.830555555556</v>
      </c>
      <c r="B75" s="8">
        <v>8.7608574662248362</v>
      </c>
      <c r="C75" s="6">
        <v>131.1</v>
      </c>
      <c r="D75" s="2">
        <f t="shared" si="20"/>
        <v>51.392706038208388</v>
      </c>
      <c r="E75" s="6">
        <v>35.341931693353104</v>
      </c>
      <c r="F75" s="6"/>
      <c r="G75">
        <f t="shared" si="21"/>
        <v>119.6</v>
      </c>
      <c r="H75">
        <f t="shared" si="22"/>
        <v>84.040293172308409</v>
      </c>
      <c r="I75">
        <v>50.44910668046969</v>
      </c>
      <c r="K75">
        <f t="shared" si="24"/>
        <v>117.18333333333334</v>
      </c>
      <c r="L75">
        <f t="shared" si="23"/>
        <v>95.738534922286703</v>
      </c>
      <c r="M75">
        <v>55.137397877728525</v>
      </c>
      <c r="O75">
        <f t="shared" si="26"/>
        <v>127.375</v>
      </c>
      <c r="P75">
        <f t="shared" si="25"/>
        <v>59.220477571428944</v>
      </c>
      <c r="Q75">
        <v>39.302564287017937</v>
      </c>
      <c r="S75">
        <f t="shared" si="8"/>
        <v>127.60999999999999</v>
      </c>
      <c r="T75">
        <f t="shared" ref="T75:T106" si="27">(($AG$4/((S75/$AJ$4)-$AH$4))-$AI$4)*100</f>
        <v>58.669507669715685</v>
      </c>
      <c r="U75">
        <v>39.03193506457707</v>
      </c>
      <c r="W75">
        <f t="shared" si="10"/>
        <v>127.14999999999999</v>
      </c>
      <c r="X75">
        <f t="shared" si="18"/>
        <v>59.756171328168584</v>
      </c>
      <c r="Y75">
        <v>39.56456963539096</v>
      </c>
      <c r="AA75">
        <f t="shared" si="12"/>
        <v>125.72499999999997</v>
      </c>
      <c r="AB75">
        <f t="shared" si="19"/>
        <v>63.34685635420788</v>
      </c>
      <c r="AC75">
        <v>41.293079803127441</v>
      </c>
    </row>
    <row r="76" spans="1:29" x14ac:dyDescent="0.25">
      <c r="A76" s="4">
        <v>46106.87222222222</v>
      </c>
      <c r="B76" s="8">
        <v>8.1267393210846812</v>
      </c>
      <c r="C76" s="6">
        <v>121.8</v>
      </c>
      <c r="D76" s="2">
        <f t="shared" si="20"/>
        <v>75.409641169473502</v>
      </c>
      <c r="E76" s="6">
        <v>47.633431794573113</v>
      </c>
      <c r="F76" s="6"/>
      <c r="G76">
        <f t="shared" si="21"/>
        <v>121.675</v>
      </c>
      <c r="H76">
        <f t="shared" si="22"/>
        <v>75.858022127872005</v>
      </c>
      <c r="I76">
        <v>47.834157372184499</v>
      </c>
      <c r="K76">
        <f t="shared" si="24"/>
        <v>117.11666666666666</v>
      </c>
      <c r="L76">
        <f t="shared" si="23"/>
        <v>96.101986283549337</v>
      </c>
      <c r="M76">
        <v>56.385536914609688</v>
      </c>
      <c r="O76">
        <f t="shared" si="26"/>
        <v>119.9375</v>
      </c>
      <c r="P76">
        <f t="shared" si="25"/>
        <v>82.60663052876825</v>
      </c>
      <c r="Q76">
        <v>50.791053885947676</v>
      </c>
      <c r="S76">
        <f t="shared" ref="S76:S125" si="28">AVERAGE(C67:C76)</f>
        <v>128.43</v>
      </c>
      <c r="T76">
        <f t="shared" si="27"/>
        <v>56.812436882732364</v>
      </c>
      <c r="U76">
        <v>38.753137792409795</v>
      </c>
      <c r="W76">
        <f t="shared" si="10"/>
        <v>127.26666666666665</v>
      </c>
      <c r="X76">
        <f t="shared" si="18"/>
        <v>59.477395106170448</v>
      </c>
      <c r="Y76">
        <v>40.099669739188691</v>
      </c>
      <c r="AA76">
        <f t="shared" si="12"/>
        <v>124.91666666666664</v>
      </c>
      <c r="AB76">
        <f t="shared" si="19"/>
        <v>65.549270470389203</v>
      </c>
      <c r="AC76">
        <v>43.069239030220331</v>
      </c>
    </row>
    <row r="77" spans="1:29" x14ac:dyDescent="0.25">
      <c r="A77" s="4">
        <v>46106.913194444445</v>
      </c>
      <c r="B77">
        <v>8.069526535388567</v>
      </c>
      <c r="C77" s="6">
        <v>120.2</v>
      </c>
      <c r="D77" s="2">
        <f t="shared" si="20"/>
        <v>81.520963215934373</v>
      </c>
      <c r="E77" s="6">
        <v>50.4085542703288</v>
      </c>
      <c r="F77" s="6"/>
      <c r="G77">
        <f t="shared" si="21"/>
        <v>123.55</v>
      </c>
      <c r="H77">
        <f t="shared" si="22"/>
        <v>69.583201021466394</v>
      </c>
      <c r="I77">
        <v>45.044858423072768</v>
      </c>
      <c r="K77">
        <f t="shared" si="24"/>
        <v>120.06666666666666</v>
      </c>
      <c r="L77">
        <f t="shared" si="23"/>
        <v>82.069264398533562</v>
      </c>
      <c r="M77">
        <v>50.64582152530167</v>
      </c>
      <c r="O77">
        <f t="shared" si="26"/>
        <v>118.1375</v>
      </c>
      <c r="P77">
        <f t="shared" si="25"/>
        <v>90.793280742552369</v>
      </c>
      <c r="Q77">
        <v>54.327062405632617</v>
      </c>
      <c r="S77">
        <f t="shared" si="28"/>
        <v>126.1</v>
      </c>
      <c r="T77">
        <f t="shared" si="27"/>
        <v>62.367313290731083</v>
      </c>
      <c r="U77">
        <v>41.594175304988617</v>
      </c>
      <c r="W77">
        <f t="shared" si="10"/>
        <v>126.50833333333333</v>
      </c>
      <c r="X77">
        <f t="shared" ref="X77:X108" si="29">(($AG$4/((W77/$AJ$4)-$AH$4))-$AI$4)*100</f>
        <v>61.329449023156137</v>
      </c>
      <c r="Y77">
        <v>41.083147111786239</v>
      </c>
      <c r="AA77">
        <f t="shared" si="12"/>
        <v>124.64999999999998</v>
      </c>
      <c r="AB77">
        <f t="shared" si="19"/>
        <v>66.304551655780969</v>
      </c>
      <c r="AC77">
        <v>43.498441822163393</v>
      </c>
    </row>
    <row r="78" spans="1:29" x14ac:dyDescent="0.25">
      <c r="A78" s="4">
        <v>46106.954861111109</v>
      </c>
      <c r="B78">
        <v>7.6826788609689558</v>
      </c>
      <c r="C78" s="6">
        <v>100.9</v>
      </c>
      <c r="D78" s="2">
        <f t="shared" si="20"/>
        <v>601.33576920793689</v>
      </c>
      <c r="E78" s="6">
        <v>230.948726984133</v>
      </c>
      <c r="F78" s="6"/>
      <c r="G78">
        <f t="shared" si="21"/>
        <v>118.5</v>
      </c>
      <c r="H78">
        <f t="shared" si="22"/>
        <v>89.032010949380819</v>
      </c>
      <c r="I78">
        <v>54.243201179217316</v>
      </c>
      <c r="K78">
        <f t="shared" si="24"/>
        <v>117.96666666666665</v>
      </c>
      <c r="L78">
        <f t="shared" si="23"/>
        <v>91.644877077379988</v>
      </c>
      <c r="M78">
        <v>55.344679988435587</v>
      </c>
      <c r="O78">
        <f t="shared" si="26"/>
        <v>115.47499999999999</v>
      </c>
      <c r="P78">
        <f t="shared" si="25"/>
        <v>105.90004235514485</v>
      </c>
      <c r="Q78">
        <v>61.129601397441355</v>
      </c>
      <c r="S78">
        <f t="shared" si="28"/>
        <v>118.06000000000002</v>
      </c>
      <c r="T78">
        <f t="shared" si="27"/>
        <v>91.177865475840008</v>
      </c>
      <c r="U78">
        <v>55.148828964697572</v>
      </c>
      <c r="W78">
        <f t="shared" ref="W78:W125" si="30">AVERAGE(C67:C78)</f>
        <v>125.45</v>
      </c>
      <c r="X78">
        <f t="shared" si="29"/>
        <v>64.081861262228443</v>
      </c>
      <c r="Y78">
        <v>42.885284552130358</v>
      </c>
      <c r="AA78">
        <f t="shared" si="12"/>
        <v>122.60833333333333</v>
      </c>
      <c r="AB78">
        <f t="shared" si="19"/>
        <v>72.617662852485367</v>
      </c>
      <c r="AC78">
        <v>46.964100569676361</v>
      </c>
    </row>
    <row r="79" spans="1:29" x14ac:dyDescent="0.25">
      <c r="A79" s="4">
        <v>46106.996527662035</v>
      </c>
      <c r="B79">
        <v>7.5606441549043923</v>
      </c>
      <c r="C79" s="6">
        <v>127.3</v>
      </c>
      <c r="D79" s="2">
        <f t="shared" si="20"/>
        <v>59.39814495991159</v>
      </c>
      <c r="E79" s="6">
        <v>40.678742774959211</v>
      </c>
      <c r="F79" s="6"/>
      <c r="G79">
        <f t="shared" si="21"/>
        <v>117.55</v>
      </c>
      <c r="H79">
        <f t="shared" si="22"/>
        <v>93.782640228653946</v>
      </c>
      <c r="I79">
        <v>56.455853790863387</v>
      </c>
      <c r="K79">
        <f t="shared" si="24"/>
        <v>120.39999999999999</v>
      </c>
      <c r="L79">
        <f t="shared" si="23"/>
        <v>80.710455055801418</v>
      </c>
      <c r="M79">
        <v>50.821875109225488</v>
      </c>
      <c r="O79">
        <f t="shared" si="26"/>
        <v>118.57499999999999</v>
      </c>
      <c r="P79">
        <f t="shared" si="25"/>
        <v>88.67515572603493</v>
      </c>
      <c r="Q79">
        <v>54.298156382776</v>
      </c>
      <c r="S79">
        <f t="shared" si="28"/>
        <v>117.33</v>
      </c>
      <c r="T79">
        <f t="shared" si="27"/>
        <v>94.947520788867763</v>
      </c>
      <c r="U79">
        <v>56.940821669780561</v>
      </c>
      <c r="W79">
        <f t="shared" si="30"/>
        <v>124.10000000000001</v>
      </c>
      <c r="X79">
        <f t="shared" si="29"/>
        <v>67.910048867714181</v>
      </c>
      <c r="Y79">
        <v>44.897700703791863</v>
      </c>
      <c r="AA79">
        <f t="shared" si="12"/>
        <v>123.00416666666666</v>
      </c>
      <c r="AB79">
        <f t="shared" si="19"/>
        <v>71.314873198697924</v>
      </c>
      <c r="AC79">
        <v>46.518898175580446</v>
      </c>
    </row>
    <row r="80" spans="1:29" x14ac:dyDescent="0.25">
      <c r="A80" s="4">
        <v>46107.038194270834</v>
      </c>
      <c r="B80">
        <v>7.4906719059155762</v>
      </c>
      <c r="C80" s="6">
        <v>121.9</v>
      </c>
      <c r="D80" s="2">
        <f t="shared" si="20"/>
        <v>75.05423686216534</v>
      </c>
      <c r="E80" s="6">
        <v>48.359209911009188</v>
      </c>
      <c r="F80" s="6"/>
      <c r="G80">
        <f t="shared" si="21"/>
        <v>117.57500000000002</v>
      </c>
      <c r="H80">
        <f t="shared" si="22"/>
        <v>93.651878633236493</v>
      </c>
      <c r="I80">
        <v>56.528198229832817</v>
      </c>
      <c r="K80">
        <f t="shared" si="24"/>
        <v>120.53333333333332</v>
      </c>
      <c r="L80">
        <f t="shared" si="23"/>
        <v>80.177917744732341</v>
      </c>
      <c r="M80">
        <v>50.690676774401958</v>
      </c>
      <c r="O80">
        <f t="shared" si="26"/>
        <v>119.62499999999999</v>
      </c>
      <c r="P80">
        <f t="shared" si="25"/>
        <v>83.932599612927078</v>
      </c>
      <c r="Q80">
        <v>52.357684799854987</v>
      </c>
      <c r="S80">
        <f t="shared" si="28"/>
        <v>117.3</v>
      </c>
      <c r="T80">
        <f t="shared" si="27"/>
        <v>95.108368357572772</v>
      </c>
      <c r="U80">
        <v>57.136835910139951</v>
      </c>
      <c r="W80">
        <f t="shared" si="30"/>
        <v>119.15000000000002</v>
      </c>
      <c r="X80">
        <f t="shared" si="29"/>
        <v>86.021202186437534</v>
      </c>
      <c r="Y80">
        <v>53.270841769471346</v>
      </c>
      <c r="AA80">
        <f t="shared" si="12"/>
        <v>123.09583333333335</v>
      </c>
      <c r="AB80">
        <f t="shared" si="19"/>
        <v>71.01890867646739</v>
      </c>
      <c r="AC80">
        <v>46.472861814333434</v>
      </c>
    </row>
    <row r="81" spans="1:29" x14ac:dyDescent="0.25">
      <c r="A81" s="4">
        <v>46107.079860937498</v>
      </c>
      <c r="B81">
        <v>7.3697797254320996</v>
      </c>
      <c r="C81" s="6">
        <v>122.6</v>
      </c>
      <c r="D81" s="2">
        <f t="shared" si="20"/>
        <v>72.645530698612006</v>
      </c>
      <c r="E81" s="6">
        <v>47.405266956987667</v>
      </c>
      <c r="F81" s="6"/>
      <c r="G81">
        <f t="shared" si="21"/>
        <v>118.17500000000001</v>
      </c>
      <c r="H81">
        <f t="shared" si="22"/>
        <v>90.608223752077734</v>
      </c>
      <c r="I81">
        <v>55.45573827322319</v>
      </c>
      <c r="K81">
        <f t="shared" si="24"/>
        <v>119.11666666666667</v>
      </c>
      <c r="L81">
        <f t="shared" si="23"/>
        <v>86.171208919680481</v>
      </c>
      <c r="M81">
        <v>53.536789821069775</v>
      </c>
      <c r="O81">
        <f t="shared" si="26"/>
        <v>120.8625</v>
      </c>
      <c r="P81">
        <f t="shared" si="25"/>
        <v>78.889183256467049</v>
      </c>
      <c r="Q81">
        <v>50.292560022703327</v>
      </c>
      <c r="S81">
        <f t="shared" si="28"/>
        <v>119.30999999999999</v>
      </c>
      <c r="T81">
        <f t="shared" si="27"/>
        <v>85.307536858785184</v>
      </c>
      <c r="U81">
        <v>53.158387639938923</v>
      </c>
      <c r="W81">
        <f t="shared" si="30"/>
        <v>118.14999999999999</v>
      </c>
      <c r="X81">
        <f t="shared" si="29"/>
        <v>90.731520592921044</v>
      </c>
      <c r="Y81">
        <v>55.508484298885641</v>
      </c>
      <c r="AA81">
        <f t="shared" si="12"/>
        <v>123.16666666666667</v>
      </c>
      <c r="AB81">
        <f t="shared" si="19"/>
        <v>70.791653730549868</v>
      </c>
      <c r="AC81">
        <v>46.527174234248811</v>
      </c>
    </row>
    <row r="82" spans="1:29" x14ac:dyDescent="0.25">
      <c r="A82" s="4">
        <v>46107.121527604169</v>
      </c>
      <c r="B82">
        <v>7.587326419795752</v>
      </c>
      <c r="C82" s="6">
        <v>142.30000000000001</v>
      </c>
      <c r="D82" s="2">
        <f t="shared" si="20"/>
        <v>35.688367320997024</v>
      </c>
      <c r="E82" s="6">
        <v>27.311536852761392</v>
      </c>
      <c r="F82" s="6"/>
      <c r="G82">
        <f t="shared" si="21"/>
        <v>128.52499999999998</v>
      </c>
      <c r="H82">
        <f t="shared" si="22"/>
        <v>56.603622698371247</v>
      </c>
      <c r="I82">
        <v>39.208283423675013</v>
      </c>
      <c r="K82">
        <f t="shared" si="24"/>
        <v>122.53333333333335</v>
      </c>
      <c r="L82">
        <f t="shared" si="23"/>
        <v>72.86913997456341</v>
      </c>
      <c r="M82">
        <v>47.210922103221897</v>
      </c>
      <c r="O82">
        <f t="shared" si="26"/>
        <v>123.51249999999999</v>
      </c>
      <c r="P82">
        <f t="shared" si="25"/>
        <v>69.699850763527238</v>
      </c>
      <c r="Q82">
        <v>45.719465150479799</v>
      </c>
      <c r="S82">
        <f t="shared" si="28"/>
        <v>122.18999999999998</v>
      </c>
      <c r="T82">
        <f t="shared" si="27"/>
        <v>74.039809380426789</v>
      </c>
      <c r="U82">
        <v>47.754466040700798</v>
      </c>
      <c r="W82">
        <f t="shared" si="30"/>
        <v>119.82499999999999</v>
      </c>
      <c r="X82">
        <f t="shared" si="29"/>
        <v>83.079713306382516</v>
      </c>
      <c r="Y82">
        <v>51.829052055561235</v>
      </c>
      <c r="AA82">
        <f t="shared" si="12"/>
        <v>124.37083333333335</v>
      </c>
      <c r="AB82">
        <f t="shared" si="19"/>
        <v>67.111265953398643</v>
      </c>
      <c r="AC82">
        <v>44.478641334597327</v>
      </c>
    </row>
    <row r="83" spans="1:29" x14ac:dyDescent="0.25">
      <c r="A83" s="4">
        <v>46107.163194270834</v>
      </c>
      <c r="B83">
        <v>7.5242138080462064</v>
      </c>
      <c r="C83" s="6">
        <v>177</v>
      </c>
      <c r="D83" s="2">
        <f t="shared" si="20"/>
        <v>15.105596860219245</v>
      </c>
      <c r="E83" s="6">
        <v>13.348862878051129</v>
      </c>
      <c r="F83" s="6"/>
      <c r="G83">
        <f t="shared" si="21"/>
        <v>140.94999999999999</v>
      </c>
      <c r="H83">
        <f t="shared" si="22"/>
        <v>37.152708032114738</v>
      </c>
      <c r="I83">
        <v>28.26229296377284</v>
      </c>
      <c r="K83">
        <f t="shared" si="24"/>
        <v>132</v>
      </c>
      <c r="L83">
        <f t="shared" si="23"/>
        <v>49.754578376229077</v>
      </c>
      <c r="M83">
        <v>35.600902609446869</v>
      </c>
      <c r="O83">
        <f t="shared" si="26"/>
        <v>129.25</v>
      </c>
      <c r="P83">
        <f t="shared" si="25"/>
        <v>55.051128298584814</v>
      </c>
      <c r="Q83">
        <v>38.459532855233455</v>
      </c>
      <c r="S83">
        <f t="shared" si="28"/>
        <v>128.62</v>
      </c>
      <c r="T83">
        <f t="shared" si="27"/>
        <v>56.396081210083452</v>
      </c>
      <c r="U83">
        <v>39.166636293304791</v>
      </c>
      <c r="W83">
        <f t="shared" si="30"/>
        <v>126.03333333333332</v>
      </c>
      <c r="X83">
        <f t="shared" si="29"/>
        <v>62.539576036674383</v>
      </c>
      <c r="Y83">
        <v>42.307732713065235</v>
      </c>
      <c r="AA83">
        <f t="shared" si="12"/>
        <v>126.91250000000001</v>
      </c>
      <c r="AB83">
        <f t="shared" si="19"/>
        <v>60.330501183322497</v>
      </c>
      <c r="AC83">
        <v>41.194446794788519</v>
      </c>
    </row>
    <row r="84" spans="1:29" x14ac:dyDescent="0.25">
      <c r="A84" s="4">
        <v>46107.204860937498</v>
      </c>
      <c r="B84">
        <v>8.5916908887261325</v>
      </c>
      <c r="C84" s="6">
        <v>126.7</v>
      </c>
      <c r="D84" s="2">
        <f t="shared" si="20"/>
        <v>60.852280008925497</v>
      </c>
      <c r="E84" s="6">
        <v>40.278045160382533</v>
      </c>
      <c r="F84" s="6"/>
      <c r="G84">
        <f t="shared" si="21"/>
        <v>142.15</v>
      </c>
      <c r="H84">
        <f t="shared" si="22"/>
        <v>35.846704303099536</v>
      </c>
      <c r="I84">
        <v>26.735248539533359</v>
      </c>
      <c r="K84">
        <f t="shared" si="24"/>
        <v>136.29999999999998</v>
      </c>
      <c r="L84">
        <f t="shared" si="23"/>
        <v>42.975444763447022</v>
      </c>
      <c r="M84">
        <v>30.906475270394061</v>
      </c>
      <c r="O84">
        <f t="shared" si="26"/>
        <v>129.86250000000001</v>
      </c>
      <c r="P84">
        <f t="shared" si="25"/>
        <v>53.793654651750877</v>
      </c>
      <c r="Q84">
        <v>36.744644937450587</v>
      </c>
      <c r="S84">
        <f t="shared" si="28"/>
        <v>129.18</v>
      </c>
      <c r="T84">
        <f t="shared" si="27"/>
        <v>55.197930382101511</v>
      </c>
      <c r="U84">
        <v>37.46363512363731</v>
      </c>
      <c r="W84">
        <f t="shared" si="30"/>
        <v>127.13333333333333</v>
      </c>
      <c r="X84">
        <f t="shared" si="29"/>
        <v>59.796175369259274</v>
      </c>
      <c r="Y84">
        <v>39.761812696472035</v>
      </c>
      <c r="AA84">
        <f t="shared" si="12"/>
        <v>126.66666666666667</v>
      </c>
      <c r="AB84">
        <f t="shared" si="19"/>
        <v>60.934816257973047</v>
      </c>
      <c r="AC84">
        <v>40.318213639236909</v>
      </c>
    </row>
    <row r="85" spans="1:29" x14ac:dyDescent="0.25">
      <c r="A85" s="4">
        <v>46107.246527604169</v>
      </c>
      <c r="B85">
        <v>8.5117150426874577</v>
      </c>
      <c r="C85" s="6">
        <v>110.8</v>
      </c>
      <c r="D85" s="2">
        <f t="shared" si="20"/>
        <v>147.00053145340991</v>
      </c>
      <c r="E85" s="6">
        <v>73.758615747659761</v>
      </c>
      <c r="F85" s="6"/>
      <c r="G85">
        <f t="shared" si="21"/>
        <v>139.19999999999999</v>
      </c>
      <c r="H85">
        <f t="shared" si="22"/>
        <v>39.191860486529109</v>
      </c>
      <c r="I85">
        <v>28.784149324619918</v>
      </c>
      <c r="K85">
        <f t="shared" si="24"/>
        <v>133.54999999999998</v>
      </c>
      <c r="L85">
        <f t="shared" si="23"/>
        <v>47.124806515796791</v>
      </c>
      <c r="M85">
        <v>33.278988311864225</v>
      </c>
      <c r="O85">
        <f t="shared" si="26"/>
        <v>128.6875</v>
      </c>
      <c r="P85">
        <f t="shared" si="25"/>
        <v>56.249384547260981</v>
      </c>
      <c r="Q85">
        <v>38.076357529862563</v>
      </c>
      <c r="S85">
        <f t="shared" si="28"/>
        <v>127.15</v>
      </c>
      <c r="T85">
        <f t="shared" si="27"/>
        <v>59.756171328168548</v>
      </c>
      <c r="U85">
        <v>39.82671890203283</v>
      </c>
      <c r="W85">
        <f t="shared" si="30"/>
        <v>126.97500000000001</v>
      </c>
      <c r="X85">
        <f t="shared" si="29"/>
        <v>60.178466030489908</v>
      </c>
      <c r="Y85">
        <v>40.0342884918187</v>
      </c>
      <c r="AA85">
        <f t="shared" si="12"/>
        <v>126.58750000000002</v>
      </c>
      <c r="AB85">
        <f t="shared" si="19"/>
        <v>61.131596600200268</v>
      </c>
      <c r="AC85">
        <v>40.500319821678822</v>
      </c>
    </row>
    <row r="86" spans="1:29" x14ac:dyDescent="0.25">
      <c r="A86" s="4">
        <v>46107.288194270834</v>
      </c>
      <c r="B86">
        <v>8.1066562587109079</v>
      </c>
      <c r="C86" s="6">
        <v>134.6</v>
      </c>
      <c r="D86" s="2">
        <f t="shared" si="20"/>
        <v>45.468013720575861</v>
      </c>
      <c r="E86" s="6">
        <v>32.701409672144749</v>
      </c>
      <c r="F86" s="6"/>
      <c r="G86">
        <f t="shared" si="21"/>
        <v>137.27500000000001</v>
      </c>
      <c r="H86">
        <f t="shared" si="22"/>
        <v>41.641896170686202</v>
      </c>
      <c r="I86">
        <v>30.51593342961668</v>
      </c>
      <c r="K86">
        <f t="shared" si="24"/>
        <v>135.66666666666666</v>
      </c>
      <c r="L86">
        <f t="shared" si="23"/>
        <v>43.878133119334272</v>
      </c>
      <c r="M86">
        <v>31.802350592947182</v>
      </c>
      <c r="O86">
        <f t="shared" si="26"/>
        <v>132.89999999999998</v>
      </c>
      <c r="P86">
        <f t="shared" si="25"/>
        <v>48.199619087663706</v>
      </c>
      <c r="Q86">
        <v>34.217066495498798</v>
      </c>
      <c r="S86">
        <f t="shared" si="28"/>
        <v>128.43</v>
      </c>
      <c r="T86">
        <f t="shared" si="27"/>
        <v>56.812436882732364</v>
      </c>
      <c r="U86">
        <v>38.773836335634201</v>
      </c>
      <c r="W86">
        <f t="shared" si="30"/>
        <v>128.1</v>
      </c>
      <c r="X86">
        <f t="shared" si="29"/>
        <v>57.547848125122279</v>
      </c>
      <c r="Y86">
        <v>39.148453377540569</v>
      </c>
      <c r="AA86">
        <f t="shared" si="12"/>
        <v>127.17083333333333</v>
      </c>
      <c r="AB86">
        <f t="shared" si="19"/>
        <v>59.706229362302764</v>
      </c>
      <c r="AC86">
        <v>40.235746990592212</v>
      </c>
    </row>
    <row r="87" spans="1:29" x14ac:dyDescent="0.25">
      <c r="A87" s="4">
        <v>46107.330555555556</v>
      </c>
      <c r="B87">
        <v>7.0601129083761496</v>
      </c>
      <c r="C87" s="6">
        <v>142.6</v>
      </c>
      <c r="D87" s="2">
        <f t="shared" si="20"/>
        <v>35.374849314361022</v>
      </c>
      <c r="E87" s="6">
        <v>27.478485435385608</v>
      </c>
      <c r="F87" s="6"/>
      <c r="G87">
        <f t="shared" si="21"/>
        <v>128.67500000000001</v>
      </c>
      <c r="H87">
        <f t="shared" si="22"/>
        <v>56.276502751134593</v>
      </c>
      <c r="I87">
        <v>39.59971938806828</v>
      </c>
      <c r="K87">
        <f t="shared" si="24"/>
        <v>139</v>
      </c>
      <c r="L87">
        <f t="shared" si="23"/>
        <v>39.43584267388399</v>
      </c>
      <c r="M87">
        <v>30.006338998237332</v>
      </c>
      <c r="O87">
        <f t="shared" si="26"/>
        <v>134.8125</v>
      </c>
      <c r="P87">
        <f t="shared" si="25"/>
        <v>45.144039371315337</v>
      </c>
      <c r="Q87">
        <v>33.409616494530923</v>
      </c>
      <c r="S87">
        <f t="shared" si="28"/>
        <v>130.66999999999999</v>
      </c>
      <c r="T87">
        <f t="shared" si="27"/>
        <v>52.206698217680739</v>
      </c>
      <c r="U87">
        <v>37.399844640481362</v>
      </c>
      <c r="W87">
        <f t="shared" si="30"/>
        <v>129.05833333333331</v>
      </c>
      <c r="X87">
        <f t="shared" si="29"/>
        <v>55.454633416821629</v>
      </c>
      <c r="Y87">
        <v>39.160932291333602</v>
      </c>
      <c r="AA87">
        <f t="shared" si="12"/>
        <v>128.10416666666666</v>
      </c>
      <c r="AB87">
        <f t="shared" si="19"/>
        <v>57.53846394305431</v>
      </c>
      <c r="AC87">
        <v>40.268279300732779</v>
      </c>
    </row>
    <row r="88" spans="1:29" x14ac:dyDescent="0.25">
      <c r="A88" s="4">
        <v>46107.37222222222</v>
      </c>
      <c r="B88">
        <v>6.9821985827707866</v>
      </c>
      <c r="C88" s="6">
        <v>176.5</v>
      </c>
      <c r="D88" s="2">
        <f t="shared" si="20"/>
        <v>15.273872246351367</v>
      </c>
      <c r="E88" s="6">
        <v>13.64902037453432</v>
      </c>
      <c r="F88" s="6"/>
      <c r="G88">
        <f t="shared" si="21"/>
        <v>141.125</v>
      </c>
      <c r="H88">
        <f t="shared" si="22"/>
        <v>36.957779695586233</v>
      </c>
      <c r="I88">
        <v>28.531318210599434</v>
      </c>
      <c r="K88">
        <f t="shared" si="24"/>
        <v>144.70000000000002</v>
      </c>
      <c r="L88">
        <f t="shared" si="23"/>
        <v>33.291687516870148</v>
      </c>
      <c r="M88">
        <v>26.196908071267782</v>
      </c>
      <c r="O88">
        <f t="shared" si="26"/>
        <v>141.63749999999999</v>
      </c>
      <c r="P88">
        <f t="shared" si="25"/>
        <v>36.395799250129791</v>
      </c>
      <c r="Q88">
        <v>28.178442180315109</v>
      </c>
      <c r="S88">
        <f t="shared" si="28"/>
        <v>138.22999999999996</v>
      </c>
      <c r="T88">
        <f t="shared" si="27"/>
        <v>40.397515143480234</v>
      </c>
      <c r="U88">
        <v>30.65305225355668</v>
      </c>
      <c r="W88">
        <f t="shared" si="30"/>
        <v>133.61666666666665</v>
      </c>
      <c r="X88">
        <f t="shared" si="29"/>
        <v>47.01675352665832</v>
      </c>
      <c r="Y88">
        <v>34.561167098748939</v>
      </c>
      <c r="AA88">
        <f t="shared" si="12"/>
        <v>130.44166666666666</v>
      </c>
      <c r="AB88">
        <f t="shared" si="19"/>
        <v>52.647558468739597</v>
      </c>
      <c r="AC88">
        <v>37.720540020883661</v>
      </c>
    </row>
    <row r="89" spans="1:29" x14ac:dyDescent="0.25">
      <c r="A89" s="4">
        <v>46107.413888773146</v>
      </c>
      <c r="B89">
        <v>7.4298898910583002</v>
      </c>
      <c r="C89" s="6">
        <v>150.80000000000001</v>
      </c>
      <c r="D89" s="2">
        <f t="shared" si="20"/>
        <v>28.170597603697146</v>
      </c>
      <c r="E89" s="6">
        <v>22.55346862498163</v>
      </c>
      <c r="F89" s="6"/>
      <c r="G89">
        <f t="shared" si="21"/>
        <v>151.125</v>
      </c>
      <c r="H89">
        <f t="shared" si="22"/>
        <v>27.930410436533652</v>
      </c>
      <c r="I89">
        <v>22.392566208996961</v>
      </c>
      <c r="K89">
        <f t="shared" si="24"/>
        <v>140.33333333333334</v>
      </c>
      <c r="L89">
        <f t="shared" si="23"/>
        <v>37.85227789686266</v>
      </c>
      <c r="M89">
        <v>28.760071830503549</v>
      </c>
      <c r="O89">
        <f t="shared" si="26"/>
        <v>145.16249999999999</v>
      </c>
      <c r="P89">
        <f t="shared" si="25"/>
        <v>32.857534365322842</v>
      </c>
      <c r="Q89">
        <v>25.62595209060559</v>
      </c>
      <c r="S89">
        <f t="shared" si="28"/>
        <v>140.57999999999998</v>
      </c>
      <c r="T89">
        <f t="shared" si="27"/>
        <v>37.570049594705416</v>
      </c>
      <c r="U89">
        <v>28.586747803027318</v>
      </c>
      <c r="W89">
        <f t="shared" si="30"/>
        <v>136.16666666666666</v>
      </c>
      <c r="X89">
        <f t="shared" si="29"/>
        <v>43.163030418562855</v>
      </c>
      <c r="Y89">
        <v>31.940927137729219</v>
      </c>
      <c r="AA89">
        <f t="shared" si="12"/>
        <v>131.33750000000001</v>
      </c>
      <c r="AB89">
        <f t="shared" ref="AB89:AB120" si="31">(($AG$4/((AA89/$AJ$4)-$AH$4))-$AI$4)*100</f>
        <v>50.951972143813194</v>
      </c>
      <c r="AC89">
        <v>36.348367531442321</v>
      </c>
    </row>
    <row r="90" spans="1:29" x14ac:dyDescent="0.25">
      <c r="A90" s="4">
        <v>46107.455555381945</v>
      </c>
      <c r="B90">
        <v>7.5213643392254497</v>
      </c>
      <c r="C90" s="6">
        <v>139.30000000000001</v>
      </c>
      <c r="D90" s="2">
        <f t="shared" si="20"/>
        <v>39.070743802859212</v>
      </c>
      <c r="E90" s="6">
        <v>29.434909423999827</v>
      </c>
      <c r="F90" s="6"/>
      <c r="G90">
        <f t="shared" si="21"/>
        <v>152.30000000000001</v>
      </c>
      <c r="H90">
        <f t="shared" si="22"/>
        <v>27.085787385588439</v>
      </c>
      <c r="I90">
        <v>21.774985112472688</v>
      </c>
      <c r="K90">
        <f t="shared" si="24"/>
        <v>142.43333333333331</v>
      </c>
      <c r="L90">
        <f t="shared" si="23"/>
        <v>35.548509757386832</v>
      </c>
      <c r="M90">
        <v>27.269456040889771</v>
      </c>
      <c r="O90">
        <f t="shared" si="26"/>
        <v>144.78749999999999</v>
      </c>
      <c r="P90">
        <f t="shared" si="25"/>
        <v>33.208899808881078</v>
      </c>
      <c r="Q90">
        <v>25.792139039964468</v>
      </c>
      <c r="S90">
        <f t="shared" si="28"/>
        <v>142.32</v>
      </c>
      <c r="T90">
        <f t="shared" si="27"/>
        <v>35.667335702713935</v>
      </c>
      <c r="U90">
        <v>27.343648250119763</v>
      </c>
      <c r="W90">
        <f t="shared" si="30"/>
        <v>139.36666666666665</v>
      </c>
      <c r="X90">
        <f t="shared" si="29"/>
        <v>38.990320369959008</v>
      </c>
      <c r="Y90">
        <v>29.386234402502946</v>
      </c>
      <c r="AA90">
        <f t="shared" ref="AA90:AA125" si="32">AVERAGE(C67:C90)</f>
        <v>132.40833333333333</v>
      </c>
      <c r="AB90">
        <f t="shared" si="31"/>
        <v>49.039166370916632</v>
      </c>
      <c r="AC90">
        <v>35.20791699996991</v>
      </c>
    </row>
    <row r="91" spans="1:29" x14ac:dyDescent="0.25">
      <c r="A91" s="4">
        <v>46107.497221990743</v>
      </c>
      <c r="B91">
        <v>7.3408738614296736</v>
      </c>
      <c r="C91" s="6">
        <v>124</v>
      </c>
      <c r="D91" s="2">
        <f t="shared" si="20"/>
        <v>68.209102983284893</v>
      </c>
      <c r="E91" s="6">
        <v>45.324306592136658</v>
      </c>
      <c r="F91" s="6"/>
      <c r="G91">
        <f t="shared" si="21"/>
        <v>147.65</v>
      </c>
      <c r="H91">
        <f t="shared" si="22"/>
        <v>30.659702704533021</v>
      </c>
      <c r="I91">
        <v>24.254794436991499</v>
      </c>
      <c r="K91">
        <f t="shared" si="24"/>
        <v>144.63333333333333</v>
      </c>
      <c r="L91">
        <f t="shared" si="23"/>
        <v>33.354969944937473</v>
      </c>
      <c r="M91">
        <v>26.002366751698542</v>
      </c>
      <c r="O91">
        <f t="shared" si="26"/>
        <v>138.16249999999999</v>
      </c>
      <c r="P91">
        <f t="shared" si="25"/>
        <v>40.483551633371185</v>
      </c>
      <c r="Q91">
        <v>30.423999658790919</v>
      </c>
      <c r="S91">
        <f t="shared" si="28"/>
        <v>142.45999999999998</v>
      </c>
      <c r="T91">
        <f t="shared" si="27"/>
        <v>35.520637668577358</v>
      </c>
      <c r="U91">
        <v>27.37598598725539</v>
      </c>
      <c r="W91">
        <f t="shared" si="30"/>
        <v>139.09166666666667</v>
      </c>
      <c r="X91">
        <f t="shared" si="29"/>
        <v>39.323726610806006</v>
      </c>
      <c r="Y91">
        <v>29.723835051660952</v>
      </c>
      <c r="AA91">
        <f t="shared" si="32"/>
        <v>131.59583333333333</v>
      </c>
      <c r="AB91">
        <f t="shared" si="31"/>
        <v>50.479537934367968</v>
      </c>
      <c r="AC91">
        <v>36.174184845485556</v>
      </c>
    </row>
    <row r="92" spans="1:29" x14ac:dyDescent="0.25">
      <c r="A92" s="4">
        <v>46107.538888599534</v>
      </c>
      <c r="B92">
        <v>7.2022261470236444</v>
      </c>
      <c r="C92" s="6">
        <v>119.4</v>
      </c>
      <c r="D92" s="2">
        <f t="shared" si="20"/>
        <v>84.910671505827821</v>
      </c>
      <c r="E92" s="6">
        <v>53.260363750149423</v>
      </c>
      <c r="F92" s="6"/>
      <c r="G92">
        <f t="shared" si="21"/>
        <v>133.375</v>
      </c>
      <c r="H92">
        <f t="shared" si="22"/>
        <v>47.410353447549682</v>
      </c>
      <c r="I92">
        <v>34.585780377531513</v>
      </c>
      <c r="K92">
        <f t="shared" si="24"/>
        <v>142.1</v>
      </c>
      <c r="L92">
        <f t="shared" si="23"/>
        <v>35.899719689406325</v>
      </c>
      <c r="M92">
        <v>27.71050325007166</v>
      </c>
      <c r="O92">
        <f t="shared" si="26"/>
        <v>137.25</v>
      </c>
      <c r="P92">
        <f t="shared" si="25"/>
        <v>41.675273623223674</v>
      </c>
      <c r="Q92">
        <v>31.24704622332392</v>
      </c>
      <c r="S92">
        <f t="shared" si="28"/>
        <v>140.17000000000002</v>
      </c>
      <c r="T92">
        <f t="shared" si="27"/>
        <v>38.040952209400189</v>
      </c>
      <c r="U92">
        <v>29.043037758643248</v>
      </c>
      <c r="W92">
        <f t="shared" si="30"/>
        <v>138.88333333333333</v>
      </c>
      <c r="X92">
        <f t="shared" si="29"/>
        <v>39.579253264100899</v>
      </c>
      <c r="Y92">
        <v>29.984643115921589</v>
      </c>
      <c r="AA92">
        <f t="shared" si="32"/>
        <v>129.01666666666668</v>
      </c>
      <c r="AB92">
        <f t="shared" si="31"/>
        <v>55.543000238430061</v>
      </c>
      <c r="AC92">
        <v>39.05711027044795</v>
      </c>
    </row>
    <row r="93" spans="1:29" x14ac:dyDescent="0.25">
      <c r="A93" s="4">
        <v>46107.580555092594</v>
      </c>
      <c r="B93">
        <v>7.7275329937438091</v>
      </c>
      <c r="C93" s="6">
        <v>124.2</v>
      </c>
      <c r="D93" s="2">
        <f t="shared" si="20"/>
        <v>67.613230358293748</v>
      </c>
      <c r="E93" s="6">
        <v>44.544345413307965</v>
      </c>
      <c r="F93" s="6"/>
      <c r="G93">
        <f t="shared" si="21"/>
        <v>126.72500000000001</v>
      </c>
      <c r="H93">
        <f t="shared" si="22"/>
        <v>60.7905011526191</v>
      </c>
      <c r="I93">
        <v>41.19752851177747</v>
      </c>
      <c r="K93">
        <f t="shared" si="24"/>
        <v>139.03333333333333</v>
      </c>
      <c r="L93">
        <f t="shared" si="23"/>
        <v>39.39501600989108</v>
      </c>
      <c r="M93">
        <v>29.47656936882818</v>
      </c>
      <c r="O93">
        <f t="shared" si="26"/>
        <v>138.92499999999998</v>
      </c>
      <c r="P93">
        <f t="shared" si="25"/>
        <v>39.527942585947137</v>
      </c>
      <c r="Q93">
        <v>29.556230302768789</v>
      </c>
      <c r="S93">
        <f t="shared" si="28"/>
        <v>134.89000000000001</v>
      </c>
      <c r="T93">
        <f t="shared" si="27"/>
        <v>45.026799128055742</v>
      </c>
      <c r="U93">
        <v>32.769654773516457</v>
      </c>
      <c r="W93">
        <f t="shared" si="30"/>
        <v>139.01666666666668</v>
      </c>
      <c r="X93">
        <f t="shared" si="29"/>
        <v>39.415421157646932</v>
      </c>
      <c r="Y93">
        <v>29.488804123127547</v>
      </c>
      <c r="AA93">
        <f t="shared" si="32"/>
        <v>128.58333333333334</v>
      </c>
      <c r="AB93">
        <f t="shared" si="31"/>
        <v>56.476034873134175</v>
      </c>
      <c r="AC93">
        <v>38.994476519751942</v>
      </c>
    </row>
    <row r="94" spans="1:29" x14ac:dyDescent="0.25">
      <c r="A94" s="4">
        <v>46107.621527777781</v>
      </c>
      <c r="B94">
        <v>7.7229048938403198</v>
      </c>
      <c r="C94" s="6">
        <v>114.9</v>
      </c>
      <c r="D94" s="2">
        <f t="shared" si="20"/>
        <v>109.76769643979594</v>
      </c>
      <c r="E94" s="6">
        <v>62.554458888271448</v>
      </c>
      <c r="F94" s="6"/>
      <c r="G94">
        <f t="shared" si="21"/>
        <v>120.625</v>
      </c>
      <c r="H94">
        <f t="shared" si="22"/>
        <v>79.815352327298697</v>
      </c>
      <c r="I94">
        <v>50.178020496421517</v>
      </c>
      <c r="K94">
        <f t="shared" si="24"/>
        <v>128.76666666666668</v>
      </c>
      <c r="L94">
        <f t="shared" si="23"/>
        <v>56.07813858620424</v>
      </c>
      <c r="M94">
        <v>38.792463810300347</v>
      </c>
      <c r="O94">
        <f t="shared" si="26"/>
        <v>136.46250000000001</v>
      </c>
      <c r="P94">
        <f t="shared" si="25"/>
        <v>42.748558214792823</v>
      </c>
      <c r="Q94">
        <v>31.461088541623983</v>
      </c>
      <c r="S94">
        <f t="shared" si="28"/>
        <v>133.71</v>
      </c>
      <c r="T94">
        <f t="shared" si="27"/>
        <v>46.866146781856401</v>
      </c>
      <c r="U94">
        <v>33.814287644119936</v>
      </c>
      <c r="W94">
        <f t="shared" si="30"/>
        <v>136.73333333333335</v>
      </c>
      <c r="X94">
        <f t="shared" si="29"/>
        <v>42.374584868511967</v>
      </c>
      <c r="Y94">
        <v>31.243108224861686</v>
      </c>
      <c r="AA94">
        <f t="shared" si="32"/>
        <v>128.27916666666667</v>
      </c>
      <c r="AB94">
        <f t="shared" si="31"/>
        <v>57.146618575654543</v>
      </c>
      <c r="AC94">
        <v>39.346512661968951</v>
      </c>
    </row>
    <row r="95" spans="1:29" x14ac:dyDescent="0.25">
      <c r="A95" s="4">
        <v>46107.663194444445</v>
      </c>
      <c r="B95">
        <v>7.6190161261470015</v>
      </c>
      <c r="C95" s="6">
        <v>129</v>
      </c>
      <c r="D95" s="2">
        <f t="shared" si="20"/>
        <v>55.578412312499417</v>
      </c>
      <c r="E95" s="6">
        <v>38.639124585535875</v>
      </c>
      <c r="F95" s="6"/>
      <c r="G95">
        <f t="shared" si="21"/>
        <v>121.875</v>
      </c>
      <c r="H95">
        <f t="shared" si="22"/>
        <v>75.142815152468174</v>
      </c>
      <c r="I95">
        <v>48.218346235461141</v>
      </c>
      <c r="K95">
        <f t="shared" si="24"/>
        <v>125.13333333333334</v>
      </c>
      <c r="L95">
        <f t="shared" si="23"/>
        <v>64.946317276508594</v>
      </c>
      <c r="M95">
        <v>43.385985251108359</v>
      </c>
      <c r="O95">
        <f t="shared" si="26"/>
        <v>134.76249999999999</v>
      </c>
      <c r="P95">
        <f t="shared" si="25"/>
        <v>45.21993667650672</v>
      </c>
      <c r="Q95">
        <v>32.971749021478431</v>
      </c>
      <c r="S95">
        <f t="shared" si="28"/>
        <v>135.53</v>
      </c>
      <c r="T95">
        <f t="shared" si="27"/>
        <v>44.076862159293398</v>
      </c>
      <c r="U95">
        <v>32.315553240223387</v>
      </c>
      <c r="W95">
        <f t="shared" si="30"/>
        <v>132.73333333333335</v>
      </c>
      <c r="X95">
        <f t="shared" si="29"/>
        <v>48.481590243077711</v>
      </c>
      <c r="Y95">
        <v>34.808997991800076</v>
      </c>
      <c r="AA95">
        <f t="shared" si="32"/>
        <v>129.38333333333333</v>
      </c>
      <c r="AB95">
        <f t="shared" si="31"/>
        <v>54.773285554506437</v>
      </c>
      <c r="AC95">
        <v>38.215441517518002</v>
      </c>
    </row>
    <row r="96" spans="1:29" x14ac:dyDescent="0.25">
      <c r="A96" s="4">
        <v>46107.704861111109</v>
      </c>
      <c r="B96">
        <v>5.873290640447653</v>
      </c>
      <c r="C96" s="6">
        <v>112</v>
      </c>
      <c r="D96" s="2">
        <f t="shared" si="20"/>
        <v>133.93168091890101</v>
      </c>
      <c r="E96" s="6">
        <v>77.219352131619118</v>
      </c>
      <c r="F96" s="6"/>
      <c r="G96">
        <f t="shared" si="21"/>
        <v>120.02500000000001</v>
      </c>
      <c r="H96">
        <f t="shared" si="22"/>
        <v>82.241936547137684</v>
      </c>
      <c r="I96">
        <v>54.297394202334672</v>
      </c>
      <c r="K96">
        <f t="shared" si="24"/>
        <v>120.58333333333333</v>
      </c>
      <c r="L96">
        <f t="shared" si="23"/>
        <v>79.979798646041303</v>
      </c>
      <c r="M96">
        <v>53.20362244573883</v>
      </c>
      <c r="O96">
        <f t="shared" si="26"/>
        <v>126.7</v>
      </c>
      <c r="P96">
        <f t="shared" si="25"/>
        <v>60.852280008925497</v>
      </c>
      <c r="Q96">
        <v>43.432776292947139</v>
      </c>
      <c r="S96">
        <f t="shared" si="28"/>
        <v>133.27000000000001</v>
      </c>
      <c r="T96">
        <f t="shared" si="27"/>
        <v>47.58302071541798</v>
      </c>
      <c r="U96">
        <v>35.936930738893793</v>
      </c>
      <c r="W96">
        <f t="shared" si="30"/>
        <v>131.50833333333335</v>
      </c>
      <c r="X96">
        <f t="shared" si="29"/>
        <v>50.638753426018788</v>
      </c>
      <c r="Y96">
        <v>37.727361921225707</v>
      </c>
      <c r="AA96">
        <f t="shared" si="32"/>
        <v>129.32083333333333</v>
      </c>
      <c r="AB96">
        <f t="shared" si="31"/>
        <v>54.903234917383557</v>
      </c>
      <c r="AC96">
        <v>40.159028081901049</v>
      </c>
    </row>
    <row r="97" spans="1:29" x14ac:dyDescent="0.25">
      <c r="A97" s="4">
        <v>46107.746527662035</v>
      </c>
      <c r="B97">
        <v>6.0642661064603889</v>
      </c>
      <c r="C97" s="6">
        <v>124.3</v>
      </c>
      <c r="D97" s="2">
        <f t="shared" si="20"/>
        <v>67.318622479661656</v>
      </c>
      <c r="E97" s="6">
        <v>46.587470035919729</v>
      </c>
      <c r="F97" s="6"/>
      <c r="G97">
        <f t="shared" si="21"/>
        <v>120.05</v>
      </c>
      <c r="H97">
        <f t="shared" si="22"/>
        <v>82.13825686700747</v>
      </c>
      <c r="I97">
        <v>53.914616970599319</v>
      </c>
      <c r="K97">
        <f t="shared" si="24"/>
        <v>120.63333333333333</v>
      </c>
      <c r="L97">
        <f t="shared" si="23"/>
        <v>79.78253398510401</v>
      </c>
      <c r="M97">
        <v>52.786044307270267</v>
      </c>
      <c r="O97">
        <f t="shared" si="26"/>
        <v>123.3875</v>
      </c>
      <c r="P97">
        <f t="shared" si="25"/>
        <v>70.091118944830171</v>
      </c>
      <c r="Q97">
        <v>48.002464053152949</v>
      </c>
      <c r="S97">
        <f t="shared" si="28"/>
        <v>131.44</v>
      </c>
      <c r="T97">
        <f t="shared" si="27"/>
        <v>50.763663138644446</v>
      </c>
      <c r="U97">
        <v>37.60201287367007</v>
      </c>
      <c r="W97">
        <f t="shared" si="30"/>
        <v>132.63333333333333</v>
      </c>
      <c r="X97">
        <f t="shared" si="29"/>
        <v>48.652055094291271</v>
      </c>
      <c r="Y97">
        <v>36.378585465251319</v>
      </c>
      <c r="AA97">
        <f t="shared" si="32"/>
        <v>129.80416666666667</v>
      </c>
      <c r="AB97">
        <f t="shared" si="31"/>
        <v>53.911363028130012</v>
      </c>
      <c r="AC97">
        <v>39.390083829755</v>
      </c>
    </row>
    <row r="98" spans="1:29" x14ac:dyDescent="0.25">
      <c r="A98" s="4">
        <v>46107.788194270834</v>
      </c>
      <c r="B98">
        <v>7.7923019041223718</v>
      </c>
      <c r="C98" s="6">
        <v>130.9</v>
      </c>
      <c r="D98" s="2">
        <f t="shared" ref="D98:D129" si="33">(($AG$4/((C98/$AJ$4)-$AH$4))-$AI$4)*100</f>
        <v>51.768704107188967</v>
      </c>
      <c r="E98" s="6">
        <v>36.443523973620358</v>
      </c>
      <c r="F98" s="6"/>
      <c r="G98">
        <f t="shared" si="21"/>
        <v>124.05000000000001</v>
      </c>
      <c r="H98">
        <f t="shared" si="22"/>
        <v>68.059294899102028</v>
      </c>
      <c r="I98">
        <v>44.676137877867838</v>
      </c>
      <c r="K98">
        <f t="shared" si="24"/>
        <v>122.55</v>
      </c>
      <c r="L98">
        <f t="shared" si="23"/>
        <v>72.813126312959824</v>
      </c>
      <c r="M98">
        <v>46.906487505823719</v>
      </c>
      <c r="O98">
        <f t="shared" si="26"/>
        <v>122.33749999999999</v>
      </c>
      <c r="P98">
        <f t="shared" si="25"/>
        <v>73.532919307183178</v>
      </c>
      <c r="Q98">
        <v>47.238351665643691</v>
      </c>
      <c r="S98">
        <f t="shared" si="28"/>
        <v>126.88000000000002</v>
      </c>
      <c r="T98">
        <f t="shared" si="27"/>
        <v>60.409814630397065</v>
      </c>
      <c r="U98">
        <v>40.933651831499802</v>
      </c>
      <c r="W98">
        <f t="shared" si="30"/>
        <v>132.32500000000002</v>
      </c>
      <c r="X98">
        <f t="shared" si="29"/>
        <v>49.183808370521561</v>
      </c>
      <c r="Y98">
        <v>35.039081079862513</v>
      </c>
      <c r="AA98">
        <f t="shared" si="32"/>
        <v>130.21250000000001</v>
      </c>
      <c r="AB98">
        <f t="shared" si="31"/>
        <v>53.096205694212998</v>
      </c>
      <c r="AC98">
        <v>37.153297446258371</v>
      </c>
    </row>
    <row r="99" spans="1:29" x14ac:dyDescent="0.25">
      <c r="A99" s="4">
        <v>46107.830555092594</v>
      </c>
      <c r="B99">
        <v>7.4082164357259073</v>
      </c>
      <c r="C99" s="6">
        <v>119</v>
      </c>
      <c r="D99" s="2">
        <f t="shared" si="33"/>
        <v>86.699886308483428</v>
      </c>
      <c r="E99" s="6">
        <v>53.703161622387988</v>
      </c>
      <c r="F99" s="6"/>
      <c r="G99">
        <f t="shared" si="21"/>
        <v>121.55000000000001</v>
      </c>
      <c r="H99">
        <f t="shared" si="22"/>
        <v>76.311053619546584</v>
      </c>
      <c r="I99">
        <v>49.057006847454069</v>
      </c>
      <c r="K99">
        <f t="shared" si="24"/>
        <v>121.68333333333334</v>
      </c>
      <c r="L99">
        <f t="shared" si="23"/>
        <v>75.827986176654889</v>
      </c>
      <c r="M99">
        <v>48.834433948123312</v>
      </c>
      <c r="O99">
        <f t="shared" si="26"/>
        <v>121.71249999999999</v>
      </c>
      <c r="P99">
        <f t="shared" si="25"/>
        <v>75.723022804322369</v>
      </c>
      <c r="Q99">
        <v>48.78598970884785</v>
      </c>
      <c r="S99">
        <f t="shared" si="28"/>
        <v>123.7</v>
      </c>
      <c r="T99">
        <f t="shared" si="27"/>
        <v>69.119934428358192</v>
      </c>
      <c r="U99">
        <v>45.676310345395585</v>
      </c>
      <c r="W99">
        <f t="shared" si="30"/>
        <v>130.35833333333332</v>
      </c>
      <c r="X99">
        <f t="shared" si="29"/>
        <v>52.809980021617761</v>
      </c>
      <c r="Y99">
        <v>37.379999056095642</v>
      </c>
      <c r="AA99">
        <f t="shared" si="32"/>
        <v>129.70833333333334</v>
      </c>
      <c r="AB99">
        <f t="shared" si="31"/>
        <v>54.10566514614996</v>
      </c>
      <c r="AC99">
        <v>38.076093798645552</v>
      </c>
    </row>
    <row r="100" spans="1:29" x14ac:dyDescent="0.25">
      <c r="A100" s="4">
        <v>46107.872221817132</v>
      </c>
      <c r="B100">
        <v>7.2854443739869659</v>
      </c>
      <c r="C100" s="6">
        <v>128.1</v>
      </c>
      <c r="D100" s="2">
        <f t="shared" si="33"/>
        <v>57.547848125122279</v>
      </c>
      <c r="E100" s="6">
        <v>40.025543115233752</v>
      </c>
      <c r="F100" s="6"/>
      <c r="G100">
        <f t="shared" si="21"/>
        <v>125.57499999999999</v>
      </c>
      <c r="H100">
        <f t="shared" si="22"/>
        <v>63.745986528978484</v>
      </c>
      <c r="I100">
        <v>43.195683823439964</v>
      </c>
      <c r="K100">
        <f t="shared" si="24"/>
        <v>123.88333333333334</v>
      </c>
      <c r="L100">
        <f t="shared" si="23"/>
        <v>68.560858854120013</v>
      </c>
      <c r="M100">
        <v>45.566948055243564</v>
      </c>
      <c r="O100">
        <f t="shared" si="26"/>
        <v>122.8</v>
      </c>
      <c r="P100">
        <f t="shared" si="25"/>
        <v>71.981758533112696</v>
      </c>
      <c r="Q100">
        <v>47.207741434067039</v>
      </c>
      <c r="S100">
        <f t="shared" si="28"/>
        <v>122.57999999999997</v>
      </c>
      <c r="T100">
        <f t="shared" si="27"/>
        <v>72.712488926516045</v>
      </c>
      <c r="U100">
        <v>47.553777074575223</v>
      </c>
      <c r="W100">
        <f t="shared" si="30"/>
        <v>126.325</v>
      </c>
      <c r="X100">
        <f t="shared" si="29"/>
        <v>61.791798356475994</v>
      </c>
      <c r="Y100">
        <v>42.211143754682418</v>
      </c>
      <c r="AA100">
        <f t="shared" si="32"/>
        <v>129.97083333333333</v>
      </c>
      <c r="AB100">
        <f t="shared" si="31"/>
        <v>53.576173566553273</v>
      </c>
      <c r="AC100">
        <v>37.917033019635191</v>
      </c>
    </row>
    <row r="101" spans="1:29" x14ac:dyDescent="0.25">
      <c r="A101" s="4">
        <v>46107.913888541669</v>
      </c>
      <c r="B101">
        <v>7.3731100098499995</v>
      </c>
      <c r="C101" s="6">
        <v>114.7</v>
      </c>
      <c r="D101" s="2">
        <f t="shared" si="33"/>
        <v>111.17339403956458</v>
      </c>
      <c r="E101" s="6">
        <v>63.875833971234428</v>
      </c>
      <c r="F101" s="6"/>
      <c r="G101">
        <f t="shared" si="21"/>
        <v>123.175</v>
      </c>
      <c r="H101">
        <f t="shared" ref="H101:H132" si="34">(($AG$4/((G101/$AJ$4)-$AH$4))-$AI$4)*100</f>
        <v>70.765000120161289</v>
      </c>
      <c r="I101">
        <v>46.510000811329178</v>
      </c>
      <c r="K101">
        <f t="shared" si="24"/>
        <v>121.50000000000001</v>
      </c>
      <c r="L101">
        <f t="shared" si="23"/>
        <v>76.493584606035824</v>
      </c>
      <c r="M101">
        <v>49.19216829058746</v>
      </c>
      <c r="O101">
        <f t="shared" si="26"/>
        <v>121.61250000000001</v>
      </c>
      <c r="P101">
        <f t="shared" si="25"/>
        <v>76.083952046754476</v>
      </c>
      <c r="Q101">
        <v>49.003371985497203</v>
      </c>
      <c r="S101">
        <f t="shared" si="28"/>
        <v>121.65</v>
      </c>
      <c r="T101">
        <f t="shared" si="27"/>
        <v>75.948254077851487</v>
      </c>
      <c r="U101">
        <v>48.940731624882609</v>
      </c>
      <c r="W101">
        <f t="shared" si="30"/>
        <v>123.31666666666666</v>
      </c>
      <c r="X101">
        <f t="shared" si="29"/>
        <v>70.314515942670724</v>
      </c>
      <c r="Y101">
        <v>46.295100319934761</v>
      </c>
      <c r="AA101">
        <f t="shared" si="32"/>
        <v>129.74166666666665</v>
      </c>
      <c r="AB101">
        <f t="shared" si="31"/>
        <v>54.03795100942034</v>
      </c>
      <c r="AC101">
        <v>38.075720438512676</v>
      </c>
    </row>
    <row r="102" spans="1:29" x14ac:dyDescent="0.25">
      <c r="A102" s="4">
        <v>46107.955555266206</v>
      </c>
      <c r="B102">
        <v>6.686145352443627</v>
      </c>
      <c r="C102" s="6">
        <v>108.2</v>
      </c>
      <c r="D102" s="2">
        <f t="shared" si="33"/>
        <v>185.3222154315398</v>
      </c>
      <c r="E102" s="6">
        <v>93.989879115291544</v>
      </c>
      <c r="F102" s="6"/>
      <c r="G102">
        <f t="shared" si="21"/>
        <v>117.5</v>
      </c>
      <c r="H102">
        <f t="shared" si="34"/>
        <v>94.045141503398952</v>
      </c>
      <c r="I102">
        <v>58.209322083946581</v>
      </c>
      <c r="K102">
        <f t="shared" si="24"/>
        <v>120.86666666666667</v>
      </c>
      <c r="L102">
        <f t="shared" si="23"/>
        <v>78.873102339480369</v>
      </c>
      <c r="M102">
        <v>51.342068270454554</v>
      </c>
      <c r="O102">
        <f t="shared" si="26"/>
        <v>120.77500000000002</v>
      </c>
      <c r="P102">
        <f t="shared" si="25"/>
        <v>79.228209450121099</v>
      </c>
      <c r="Q102">
        <v>51.508536407814056</v>
      </c>
      <c r="S102">
        <f t="shared" si="28"/>
        <v>120.53</v>
      </c>
      <c r="T102">
        <f t="shared" si="27"/>
        <v>80.19115620064882</v>
      </c>
      <c r="U102">
        <v>51.95842867209651</v>
      </c>
      <c r="W102">
        <f t="shared" si="30"/>
        <v>120.72499999999998</v>
      </c>
      <c r="X102">
        <f t="shared" si="29"/>
        <v>79.423082999835799</v>
      </c>
      <c r="Y102">
        <v>51.59976068851757</v>
      </c>
      <c r="AA102">
        <f t="shared" si="32"/>
        <v>130.04583333333332</v>
      </c>
      <c r="AB102">
        <f t="shared" si="31"/>
        <v>53.426456478546804</v>
      </c>
      <c r="AC102">
        <v>38.454433599054447</v>
      </c>
    </row>
    <row r="103" spans="1:29" x14ac:dyDescent="0.25">
      <c r="A103" s="4">
        <v>46107.997221990743</v>
      </c>
      <c r="B103">
        <v>5.6091661443961689</v>
      </c>
      <c r="C103" s="6">
        <v>128.6</v>
      </c>
      <c r="D103" s="2">
        <f t="shared" si="33"/>
        <v>56.43966896790463</v>
      </c>
      <c r="E103" s="6">
        <v>41.325530608696447</v>
      </c>
      <c r="F103" s="6"/>
      <c r="G103">
        <f t="shared" si="21"/>
        <v>119.9</v>
      </c>
      <c r="H103">
        <f t="shared" si="34"/>
        <v>82.763798057457436</v>
      </c>
      <c r="I103">
        <v>55.020471309307261</v>
      </c>
      <c r="K103">
        <f t="shared" si="24"/>
        <v>121.58333333333333</v>
      </c>
      <c r="L103">
        <f t="shared" ref="L103:L134" si="35">(($AG$4/((K103/$AJ$4)-$AH$4))-$AI$4)*100</f>
        <v>76.189786421169686</v>
      </c>
      <c r="M103">
        <v>51.773529746138955</v>
      </c>
      <c r="O103">
        <f t="shared" si="26"/>
        <v>120.72500000000002</v>
      </c>
      <c r="P103">
        <f t="shared" si="25"/>
        <v>79.423082999835685</v>
      </c>
      <c r="Q103">
        <v>53.382393478014514</v>
      </c>
      <c r="S103">
        <f t="shared" si="28"/>
        <v>120.97</v>
      </c>
      <c r="T103">
        <f t="shared" si="27"/>
        <v>78.476118085909675</v>
      </c>
      <c r="U103">
        <v>52.91366223180426</v>
      </c>
      <c r="W103">
        <f t="shared" si="30"/>
        <v>121.10833333333333</v>
      </c>
      <c r="X103">
        <f t="shared" si="29"/>
        <v>77.950099221670897</v>
      </c>
      <c r="Y103">
        <v>52.652419956568039</v>
      </c>
      <c r="AA103">
        <f t="shared" si="32"/>
        <v>130.1</v>
      </c>
      <c r="AB103">
        <f t="shared" si="31"/>
        <v>53.318755190736631</v>
      </c>
      <c r="AC103">
        <v>39.5550953270292</v>
      </c>
    </row>
    <row r="104" spans="1:29" x14ac:dyDescent="0.25">
      <c r="A104" s="4">
        <v>46108.03888871528</v>
      </c>
      <c r="B104">
        <v>5.1612350089038523</v>
      </c>
      <c r="C104" s="6">
        <v>120.6</v>
      </c>
      <c r="D104" s="2">
        <f t="shared" si="33"/>
        <v>79.913949094888125</v>
      </c>
      <c r="E104" s="6">
        <v>54.412613712164202</v>
      </c>
      <c r="F104" s="6"/>
      <c r="G104">
        <f t="shared" si="21"/>
        <v>118.02500000000001</v>
      </c>
      <c r="H104">
        <f t="shared" si="34"/>
        <v>91.352498397610148</v>
      </c>
      <c r="I104">
        <v>60.062121532728561</v>
      </c>
      <c r="K104">
        <f t="shared" si="24"/>
        <v>119.86666666666667</v>
      </c>
      <c r="L104">
        <f t="shared" si="35"/>
        <v>82.903943899138582</v>
      </c>
      <c r="M104">
        <v>55.912652630593804</v>
      </c>
      <c r="O104">
        <f t="shared" si="26"/>
        <v>121.80000000000001</v>
      </c>
      <c r="P104">
        <f t="shared" si="25"/>
        <v>75.409641169473446</v>
      </c>
      <c r="Q104">
        <v>52.117202936231607</v>
      </c>
      <c r="S104">
        <f t="shared" si="28"/>
        <v>121.54</v>
      </c>
      <c r="T104">
        <f t="shared" si="27"/>
        <v>76.347499209900064</v>
      </c>
      <c r="U104">
        <v>52.598872779556814</v>
      </c>
      <c r="W104">
        <f t="shared" si="30"/>
        <v>121.20833333333331</v>
      </c>
      <c r="X104">
        <f t="shared" si="29"/>
        <v>77.573658570649812</v>
      </c>
      <c r="Y104">
        <v>53.2255891646316</v>
      </c>
      <c r="AA104">
        <f t="shared" si="32"/>
        <v>130.04583333333332</v>
      </c>
      <c r="AB104">
        <f t="shared" si="31"/>
        <v>53.426456478546804</v>
      </c>
      <c r="AC104">
        <v>40.120829214531099</v>
      </c>
    </row>
    <row r="105" spans="1:29" x14ac:dyDescent="0.25">
      <c r="A105" s="4">
        <v>46108.080555439818</v>
      </c>
      <c r="B105">
        <v>4.6804282621033817</v>
      </c>
      <c r="C105" s="6">
        <v>104.3</v>
      </c>
      <c r="D105" s="2">
        <f t="shared" si="33"/>
        <v>297.32044837040246</v>
      </c>
      <c r="E105" s="6">
        <v>173.40289618977721</v>
      </c>
      <c r="F105" s="6"/>
      <c r="G105">
        <f t="shared" si="21"/>
        <v>115.425</v>
      </c>
      <c r="H105">
        <f t="shared" si="34"/>
        <v>106.22653923386649</v>
      </c>
      <c r="I105">
        <v>68.390018636452211</v>
      </c>
      <c r="K105">
        <f t="shared" si="24"/>
        <v>117.41666666666667</v>
      </c>
      <c r="L105">
        <f t="shared" si="35"/>
        <v>94.485564631083534</v>
      </c>
      <c r="M105">
        <v>62.656343736265583</v>
      </c>
      <c r="O105">
        <f t="shared" si="26"/>
        <v>119.3</v>
      </c>
      <c r="P105">
        <f t="shared" ref="P105:P136" si="36">(($AG$4/((O105/$AJ$4)-$AH$4))-$AI$4)*100</f>
        <v>85.351834787631489</v>
      </c>
      <c r="Q105">
        <v>58.07782054009796</v>
      </c>
      <c r="S105">
        <f t="shared" si="28"/>
        <v>119.07000000000001</v>
      </c>
      <c r="T105">
        <f t="shared" si="27"/>
        <v>86.381995305017469</v>
      </c>
      <c r="U105">
        <v>58.600567197976261</v>
      </c>
      <c r="W105">
        <f t="shared" si="30"/>
        <v>119.55</v>
      </c>
      <c r="X105">
        <f t="shared" si="29"/>
        <v>84.256411119191227</v>
      </c>
      <c r="Y105">
        <v>57.519997559478064</v>
      </c>
      <c r="AA105">
        <f t="shared" si="32"/>
        <v>129.28333333333333</v>
      </c>
      <c r="AB105">
        <f t="shared" si="31"/>
        <v>54.981449437082176</v>
      </c>
      <c r="AC105">
        <v>41.59433546046813</v>
      </c>
    </row>
    <row r="106" spans="1:29" x14ac:dyDescent="0.25">
      <c r="A106" s="4">
        <v>46108.12222222222</v>
      </c>
      <c r="B106">
        <v>4.7645628104437918</v>
      </c>
      <c r="C106" s="6">
        <v>124.8</v>
      </c>
      <c r="D106" s="2">
        <f t="shared" si="33"/>
        <v>65.877893976093176</v>
      </c>
      <c r="E106" s="6">
        <v>47.669749080623816</v>
      </c>
      <c r="F106" s="6"/>
      <c r="G106">
        <f t="shared" si="21"/>
        <v>119.575</v>
      </c>
      <c r="H106">
        <f t="shared" si="34"/>
        <v>84.148230065844814</v>
      </c>
      <c r="I106">
        <v>57.299028386116525</v>
      </c>
      <c r="K106">
        <f t="shared" si="24"/>
        <v>116.86666666666666</v>
      </c>
      <c r="L106">
        <f t="shared" si="35"/>
        <v>97.487152857353124</v>
      </c>
      <c r="M106">
        <v>63.934770782009608</v>
      </c>
      <c r="O106">
        <f t="shared" si="26"/>
        <v>118.53749999999999</v>
      </c>
      <c r="P106">
        <f t="shared" si="36"/>
        <v>88.853266095298139</v>
      </c>
      <c r="Q106">
        <v>59.66978392720452</v>
      </c>
      <c r="S106">
        <f t="shared" si="28"/>
        <v>120.35</v>
      </c>
      <c r="T106">
        <f t="shared" si="27"/>
        <v>80.911755061143751</v>
      </c>
      <c r="U106">
        <v>55.645860154679369</v>
      </c>
      <c r="W106">
        <f t="shared" si="30"/>
        <v>120.375</v>
      </c>
      <c r="X106">
        <f t="shared" si="29"/>
        <v>80.810995316280312</v>
      </c>
      <c r="Y106">
        <v>55.594077092572647</v>
      </c>
      <c r="AA106">
        <f t="shared" si="32"/>
        <v>128.55416666666665</v>
      </c>
      <c r="AB106">
        <f t="shared" si="31"/>
        <v>56.539768972796708</v>
      </c>
      <c r="AC106">
        <v>42.401284305678189</v>
      </c>
    </row>
    <row r="107" spans="1:29" x14ac:dyDescent="0.25">
      <c r="A107" s="4">
        <v>46108.163888888892</v>
      </c>
      <c r="B107">
        <v>4.8900327358988669</v>
      </c>
      <c r="C107" s="6">
        <v>120.1</v>
      </c>
      <c r="D107" s="2">
        <f t="shared" si="33"/>
        <v>81.931584013822928</v>
      </c>
      <c r="E107" s="6">
        <v>55.931768677742866</v>
      </c>
      <c r="F107" s="6"/>
      <c r="G107">
        <f t="shared" si="21"/>
        <v>117.44999999999999</v>
      </c>
      <c r="H107">
        <f t="shared" si="34"/>
        <v>94.308955039200498</v>
      </c>
      <c r="I107">
        <v>62.091770282528337</v>
      </c>
      <c r="K107">
        <f t="shared" si="24"/>
        <v>117.76666666666667</v>
      </c>
      <c r="L107">
        <f t="shared" si="35"/>
        <v>92.660062300870209</v>
      </c>
      <c r="M107">
        <v>61.28479844299676</v>
      </c>
      <c r="O107">
        <f t="shared" si="26"/>
        <v>118.675</v>
      </c>
      <c r="P107">
        <f t="shared" si="36"/>
        <v>88.203271096262</v>
      </c>
      <c r="Q107">
        <v>59.083913449262482</v>
      </c>
      <c r="S107">
        <f t="shared" si="28"/>
        <v>119.92999999999999</v>
      </c>
      <c r="T107">
        <f t="shared" ref="T107:T138" si="37">(($AG$4/((S107/$AJ$4)-$AH$4))-$AI$4)*100</f>
        <v>82.638022092853149</v>
      </c>
      <c r="U107">
        <v>56.290351332924381</v>
      </c>
      <c r="W107">
        <f t="shared" si="30"/>
        <v>119.63333333333333</v>
      </c>
      <c r="X107">
        <f t="shared" si="29"/>
        <v>83.896755691886767</v>
      </c>
      <c r="Y107">
        <v>56.926967312554702</v>
      </c>
      <c r="AA107">
        <f t="shared" si="32"/>
        <v>126.18333333333332</v>
      </c>
      <c r="AB107">
        <f t="shared" si="31"/>
        <v>62.153108816395566</v>
      </c>
      <c r="AC107">
        <v>45.43052499851067</v>
      </c>
    </row>
    <row r="108" spans="1:29" x14ac:dyDescent="0.25">
      <c r="A108" s="4">
        <v>46108.379166666666</v>
      </c>
      <c r="B108">
        <v>5.3426629926651907</v>
      </c>
      <c r="C108" s="6">
        <v>122.8</v>
      </c>
      <c r="D108" s="2">
        <f t="shared" si="33"/>
        <v>71.981758533112696</v>
      </c>
      <c r="E108" s="6">
        <v>50.054085916856209</v>
      </c>
      <c r="F108" s="6"/>
      <c r="G108">
        <f t="shared" si="21"/>
        <v>118</v>
      </c>
      <c r="H108">
        <f t="shared" si="34"/>
        <v>91.477600330584607</v>
      </c>
      <c r="I108">
        <v>59.74105195804129</v>
      </c>
      <c r="K108">
        <f t="shared" si="24"/>
        <v>120.19999999999999</v>
      </c>
      <c r="L108">
        <f t="shared" si="35"/>
        <v>81.520963215934444</v>
      </c>
      <c r="M108">
        <v>54.890905813847205</v>
      </c>
      <c r="O108">
        <f t="shared" si="26"/>
        <v>118.01249999999999</v>
      </c>
      <c r="P108">
        <f t="shared" si="36"/>
        <v>91.415011346106567</v>
      </c>
      <c r="Q108">
        <v>59.711098442793165</v>
      </c>
      <c r="S108">
        <f t="shared" si="28"/>
        <v>119.11999999999998</v>
      </c>
      <c r="T108">
        <f t="shared" si="37"/>
        <v>86.156187482970566</v>
      </c>
      <c r="U108">
        <v>57.171142741048456</v>
      </c>
      <c r="W108">
        <f t="shared" si="30"/>
        <v>120.53333333333332</v>
      </c>
      <c r="X108">
        <f t="shared" si="29"/>
        <v>80.177917744732341</v>
      </c>
      <c r="Y108">
        <v>54.222233682568863</v>
      </c>
      <c r="AA108">
        <f t="shared" si="32"/>
        <v>126.02083333333333</v>
      </c>
      <c r="AB108">
        <f t="shared" si="31"/>
        <v>62.571964787572618</v>
      </c>
      <c r="AC108">
        <v>45.051944757733857</v>
      </c>
    </row>
    <row r="109" spans="1:29" x14ac:dyDescent="0.25">
      <c r="A109" s="4">
        <v>46108.42083333333</v>
      </c>
      <c r="B109">
        <v>5.9064784568901878</v>
      </c>
      <c r="C109" s="6">
        <v>132.1</v>
      </c>
      <c r="D109" s="2">
        <f t="shared" si="33"/>
        <v>49.577816559439235</v>
      </c>
      <c r="E109" s="6">
        <v>37.076759083943081</v>
      </c>
      <c r="F109" s="6"/>
      <c r="G109">
        <f t="shared" si="21"/>
        <v>124.94999999999999</v>
      </c>
      <c r="H109">
        <f t="shared" si="34"/>
        <v>65.455890111096139</v>
      </c>
      <c r="I109">
        <v>45.836341081548319</v>
      </c>
      <c r="K109">
        <f t="shared" si="24"/>
        <v>120.78333333333332</v>
      </c>
      <c r="L109">
        <f t="shared" si="35"/>
        <v>79.195811709472508</v>
      </c>
      <c r="M109">
        <v>52.766195681766078</v>
      </c>
      <c r="O109">
        <f t="shared" si="26"/>
        <v>120.1875</v>
      </c>
      <c r="P109">
        <f t="shared" si="36"/>
        <v>81.572093325770865</v>
      </c>
      <c r="Q109">
        <v>53.91696968173256</v>
      </c>
      <c r="S109">
        <f t="shared" si="28"/>
        <v>120.42999999999999</v>
      </c>
      <c r="T109">
        <f t="shared" si="37"/>
        <v>80.590095454181665</v>
      </c>
      <c r="U109">
        <v>53.442927720325883</v>
      </c>
      <c r="W109">
        <f t="shared" si="30"/>
        <v>121.18333333333332</v>
      </c>
      <c r="X109">
        <f t="shared" ref="X109:X140" si="38">(($AG$4/((W109/$AJ$4)-$AH$4))-$AI$4)*100</f>
        <v>77.667471381560162</v>
      </c>
      <c r="Y109">
        <v>52.019304642525164</v>
      </c>
      <c r="AA109">
        <f t="shared" si="32"/>
        <v>126.90833333333332</v>
      </c>
      <c r="AB109">
        <f t="shared" si="31"/>
        <v>60.340659795149719</v>
      </c>
      <c r="AC109">
        <v>43.115078251331276</v>
      </c>
    </row>
    <row r="110" spans="1:29" x14ac:dyDescent="0.25">
      <c r="A110" s="4">
        <v>46108.462499942128</v>
      </c>
      <c r="B110">
        <v>6.2542607043511937</v>
      </c>
      <c r="C110" s="6">
        <v>127.3</v>
      </c>
      <c r="D110" s="2">
        <f t="shared" si="33"/>
        <v>59.39814495991159</v>
      </c>
      <c r="E110" s="6">
        <v>42.183986699061933</v>
      </c>
      <c r="F110" s="6"/>
      <c r="G110">
        <f t="shared" si="21"/>
        <v>125.575</v>
      </c>
      <c r="H110">
        <f t="shared" si="34"/>
        <v>63.745986528978449</v>
      </c>
      <c r="I110">
        <v>44.483695774321767</v>
      </c>
      <c r="K110">
        <f t="shared" si="24"/>
        <v>121.89999999999999</v>
      </c>
      <c r="L110">
        <f t="shared" si="35"/>
        <v>75.054236862165382</v>
      </c>
      <c r="M110">
        <v>50.187594422012737</v>
      </c>
      <c r="O110">
        <f t="shared" si="26"/>
        <v>122.57499999999999</v>
      </c>
      <c r="P110">
        <f t="shared" si="36"/>
        <v>72.72924513728934</v>
      </c>
      <c r="Q110">
        <v>49.044498459617159</v>
      </c>
      <c r="S110">
        <f t="shared" si="28"/>
        <v>120.34999999999998</v>
      </c>
      <c r="T110">
        <f t="shared" si="37"/>
        <v>80.911755061143808</v>
      </c>
      <c r="U110">
        <v>53.007582842934276</v>
      </c>
      <c r="W110">
        <f t="shared" si="30"/>
        <v>120.88333333333331</v>
      </c>
      <c r="X110">
        <f t="shared" si="38"/>
        <v>78.808835849171189</v>
      </c>
      <c r="Y110">
        <v>52.004605701370188</v>
      </c>
      <c r="AA110">
        <f t="shared" si="32"/>
        <v>126.60416666666669</v>
      </c>
      <c r="AB110">
        <f t="shared" si="31"/>
        <v>61.090080359970777</v>
      </c>
      <c r="AC110">
        <v>43.086686224551677</v>
      </c>
    </row>
    <row r="111" spans="1:29" x14ac:dyDescent="0.25">
      <c r="A111" s="4">
        <v>46108.504166608793</v>
      </c>
      <c r="B111">
        <v>6.3579089509643856</v>
      </c>
      <c r="C111" s="6">
        <v>134.5</v>
      </c>
      <c r="D111" s="2">
        <f t="shared" si="33"/>
        <v>45.621758026789458</v>
      </c>
      <c r="E111" s="6">
        <v>34.317135561014609</v>
      </c>
      <c r="F111" s="6"/>
      <c r="G111">
        <f t="shared" si="21"/>
        <v>129.17500000000001</v>
      </c>
      <c r="H111">
        <f t="shared" si="34"/>
        <v>55.208441031563225</v>
      </c>
      <c r="I111">
        <v>39.788598276011946</v>
      </c>
      <c r="K111">
        <f t="shared" si="24"/>
        <v>126.93333333333332</v>
      </c>
      <c r="L111">
        <f t="shared" si="35"/>
        <v>60.279751188024008</v>
      </c>
      <c r="M111">
        <v>42.530160313888999</v>
      </c>
      <c r="O111">
        <f t="shared" si="26"/>
        <v>123.31249999999999</v>
      </c>
      <c r="P111">
        <f t="shared" si="36"/>
        <v>70.327695045299848</v>
      </c>
      <c r="Q111">
        <v>47.700495385390326</v>
      </c>
      <c r="S111">
        <f t="shared" si="28"/>
        <v>122.33</v>
      </c>
      <c r="T111">
        <f t="shared" si="37"/>
        <v>73.558548369546216</v>
      </c>
      <c r="U111">
        <v>49.298375768487318</v>
      </c>
      <c r="W111">
        <f t="shared" si="30"/>
        <v>122.175</v>
      </c>
      <c r="X111">
        <f t="shared" si="38"/>
        <v>74.091696261860889</v>
      </c>
      <c r="Y111">
        <v>49.559326520626477</v>
      </c>
      <c r="AA111">
        <f t="shared" si="32"/>
        <v>126.26666666666669</v>
      </c>
      <c r="AB111">
        <f t="shared" si="31"/>
        <v>61.940143073614294</v>
      </c>
      <c r="AC111">
        <v>43.407352010587381</v>
      </c>
    </row>
    <row r="112" spans="1:29" x14ac:dyDescent="0.25">
      <c r="A112" s="4">
        <v>46108.545833275464</v>
      </c>
      <c r="B112">
        <v>6.5588506674092271</v>
      </c>
      <c r="C112" s="6">
        <v>118.2</v>
      </c>
      <c r="D112" s="2">
        <f t="shared" si="33"/>
        <v>90.485223958532274</v>
      </c>
      <c r="E112" s="6">
        <v>56.876985901113819</v>
      </c>
      <c r="F112" s="6"/>
      <c r="G112">
        <f t="shared" si="21"/>
        <v>128.02500000000001</v>
      </c>
      <c r="H112">
        <f t="shared" si="34"/>
        <v>57.717200714673091</v>
      </c>
      <c r="I112">
        <v>40.926396633790993</v>
      </c>
      <c r="K112">
        <f t="shared" si="24"/>
        <v>125.83333333333333</v>
      </c>
      <c r="L112">
        <f t="shared" si="35"/>
        <v>63.061218956095303</v>
      </c>
      <c r="M112">
        <v>43.741516048972031</v>
      </c>
      <c r="O112">
        <f t="shared" si="26"/>
        <v>123.0125</v>
      </c>
      <c r="P112">
        <f t="shared" si="36"/>
        <v>71.28787963318436</v>
      </c>
      <c r="Q112">
        <v>47.890093448103279</v>
      </c>
      <c r="S112">
        <f t="shared" si="28"/>
        <v>123.33</v>
      </c>
      <c r="T112">
        <f t="shared" si="37"/>
        <v>70.272371327516566</v>
      </c>
      <c r="U112">
        <v>47.389068798887031</v>
      </c>
      <c r="W112">
        <f t="shared" si="30"/>
        <v>121.34999999999998</v>
      </c>
      <c r="X112">
        <f t="shared" si="38"/>
        <v>77.045759216624532</v>
      </c>
      <c r="Y112">
        <v>50.677511325989897</v>
      </c>
      <c r="AA112">
        <f t="shared" si="32"/>
        <v>123.83750000000002</v>
      </c>
      <c r="AB112">
        <f t="shared" si="31"/>
        <v>68.699899543028948</v>
      </c>
      <c r="AC112">
        <v>46.607344273715768</v>
      </c>
    </row>
    <row r="113" spans="1:29" x14ac:dyDescent="0.25">
      <c r="A113" s="4">
        <v>46108.587499942128</v>
      </c>
      <c r="B113">
        <v>6.9550486478250289</v>
      </c>
      <c r="C113" s="6">
        <v>121.5</v>
      </c>
      <c r="D113" s="2">
        <f t="shared" si="33"/>
        <v>76.493584606035881</v>
      </c>
      <c r="E113" s="6">
        <v>49.811266649598252</v>
      </c>
      <c r="F113" s="6"/>
      <c r="G113">
        <f t="shared" si="21"/>
        <v>125.375</v>
      </c>
      <c r="H113">
        <f t="shared" si="34"/>
        <v>64.284829238161308</v>
      </c>
      <c r="I113">
        <v>43.872556230238679</v>
      </c>
      <c r="K113">
        <f t="shared" si="24"/>
        <v>126.06666666666668</v>
      </c>
      <c r="L113">
        <f t="shared" si="35"/>
        <v>62.453344349059549</v>
      </c>
      <c r="M113">
        <v>42.94167114052722</v>
      </c>
      <c r="O113">
        <f t="shared" si="26"/>
        <v>125.16249999999999</v>
      </c>
      <c r="P113">
        <f t="shared" si="36"/>
        <v>64.865870421291589</v>
      </c>
      <c r="Q113">
        <v>44.165520856176357</v>
      </c>
      <c r="S113">
        <f t="shared" si="28"/>
        <v>122.61999999999998</v>
      </c>
      <c r="T113">
        <f t="shared" si="37"/>
        <v>72.578678864483479</v>
      </c>
      <c r="U113">
        <v>47.953963910612131</v>
      </c>
      <c r="W113">
        <f t="shared" si="30"/>
        <v>121.91666666666667</v>
      </c>
      <c r="X113">
        <f t="shared" si="38"/>
        <v>74.995285218989309</v>
      </c>
      <c r="Y113">
        <v>49.105308136356754</v>
      </c>
      <c r="AA113">
        <f t="shared" si="32"/>
        <v>122.61666666666666</v>
      </c>
      <c r="AB113">
        <f t="shared" si="31"/>
        <v>72.589813459144594</v>
      </c>
      <c r="AC113">
        <v>47.95930571565134</v>
      </c>
    </row>
    <row r="114" spans="1:29" x14ac:dyDescent="0.25">
      <c r="A114" s="4">
        <v>46108.629166608793</v>
      </c>
      <c r="B114">
        <v>6.7955027198451914</v>
      </c>
      <c r="C114" s="6">
        <v>108.8</v>
      </c>
      <c r="D114" s="2">
        <f t="shared" si="33"/>
        <v>174.9209431437973</v>
      </c>
      <c r="E114" s="6">
        <v>89.620223717633394</v>
      </c>
      <c r="F114" s="6"/>
      <c r="G114">
        <f t="shared" si="21"/>
        <v>120.75</v>
      </c>
      <c r="H114">
        <f t="shared" si="34"/>
        <v>79.325541695856032</v>
      </c>
      <c r="I114">
        <v>51.380653043259827</v>
      </c>
      <c r="K114">
        <f t="shared" si="24"/>
        <v>123.73333333333333</v>
      </c>
      <c r="L114">
        <f t="shared" si="35"/>
        <v>69.017704285384951</v>
      </c>
      <c r="M114">
        <v>46.442607923659715</v>
      </c>
      <c r="O114">
        <f t="shared" si="26"/>
        <v>123.16249999999999</v>
      </c>
      <c r="P114">
        <f t="shared" si="36"/>
        <v>70.80498701356025</v>
      </c>
      <c r="Q114">
        <v>47.319839500460994</v>
      </c>
      <c r="S114">
        <f t="shared" si="28"/>
        <v>121.43999999999998</v>
      </c>
      <c r="T114">
        <f t="shared" si="37"/>
        <v>76.713625972221095</v>
      </c>
      <c r="U114">
        <v>50.156015175559112</v>
      </c>
      <c r="W114">
        <f t="shared" si="30"/>
        <v>121.96666666666665</v>
      </c>
      <c r="X114">
        <f t="shared" si="38"/>
        <v>74.818911126885723</v>
      </c>
      <c r="Y114">
        <v>49.25679987467592</v>
      </c>
      <c r="AA114">
        <f t="shared" si="32"/>
        <v>121.34583333333332</v>
      </c>
      <c r="AB114">
        <f t="shared" si="31"/>
        <v>77.061196340794709</v>
      </c>
      <c r="AC114">
        <v>50.319963286001865</v>
      </c>
    </row>
    <row r="115" spans="1:29" x14ac:dyDescent="0.25">
      <c r="A115" s="4">
        <v>46108.670833275464</v>
      </c>
      <c r="B115">
        <v>6.7490435802511684</v>
      </c>
      <c r="C115" s="6">
        <v>142.9</v>
      </c>
      <c r="D115" s="2">
        <f t="shared" si="33"/>
        <v>35.065469818851746</v>
      </c>
      <c r="E115" s="6">
        <v>27.498371265534782</v>
      </c>
      <c r="F115" s="6"/>
      <c r="G115">
        <f t="shared" si="21"/>
        <v>122.85</v>
      </c>
      <c r="H115">
        <f t="shared" si="34"/>
        <v>71.817448549005164</v>
      </c>
      <c r="I115">
        <v>47.878520643238843</v>
      </c>
      <c r="K115">
        <f t="shared" si="24"/>
        <v>125.53333333333332</v>
      </c>
      <c r="L115">
        <f t="shared" si="35"/>
        <v>63.857612597309263</v>
      </c>
      <c r="M115">
        <v>43.912913367031379</v>
      </c>
      <c r="O115">
        <f t="shared" si="26"/>
        <v>126.0125</v>
      </c>
      <c r="P115">
        <f t="shared" si="36"/>
        <v>62.593573035563487</v>
      </c>
      <c r="Q115">
        <v>43.264557687131614</v>
      </c>
      <c r="S115">
        <f t="shared" si="28"/>
        <v>125.3</v>
      </c>
      <c r="T115">
        <f t="shared" si="37"/>
        <v>64.488890252143932</v>
      </c>
      <c r="U115">
        <v>44.23470088614306</v>
      </c>
      <c r="W115">
        <f t="shared" si="30"/>
        <v>123.15833333333332</v>
      </c>
      <c r="X115">
        <f t="shared" si="38"/>
        <v>70.818324617913973</v>
      </c>
      <c r="Y115">
        <v>47.39122379199754</v>
      </c>
      <c r="AA115">
        <f t="shared" si="32"/>
        <v>122.13333333333333</v>
      </c>
      <c r="AB115">
        <f t="shared" si="31"/>
        <v>74.236157324361429</v>
      </c>
      <c r="AC115">
        <v>49.046626451466381</v>
      </c>
    </row>
    <row r="116" spans="1:29" x14ac:dyDescent="0.25">
      <c r="A116" s="4">
        <v>46108.712499942128</v>
      </c>
      <c r="B116">
        <v>8.9584352155150473</v>
      </c>
      <c r="C116" s="6">
        <v>126.8</v>
      </c>
      <c r="D116" s="2">
        <f t="shared" si="33"/>
        <v>60.605795973690448</v>
      </c>
      <c r="E116" s="6">
        <v>39.769704132881351</v>
      </c>
      <c r="F116" s="6"/>
      <c r="G116">
        <f t="shared" si="21"/>
        <v>125.00000000000001</v>
      </c>
      <c r="H116">
        <f t="shared" si="34"/>
        <v>65.316243200506037</v>
      </c>
      <c r="I116">
        <v>41.997498256229569</v>
      </c>
      <c r="K116">
        <f t="shared" si="24"/>
        <v>125.44999999999999</v>
      </c>
      <c r="L116">
        <f t="shared" si="35"/>
        <v>64.081861262228486</v>
      </c>
      <c r="M116">
        <v>41.42135465463452</v>
      </c>
      <c r="O116">
        <f t="shared" si="26"/>
        <v>126.51249999999999</v>
      </c>
      <c r="P116">
        <f t="shared" si="36"/>
        <v>61.319008868199511</v>
      </c>
      <c r="Q116">
        <v>40.112192389322637</v>
      </c>
      <c r="S116">
        <f t="shared" si="28"/>
        <v>125.5</v>
      </c>
      <c r="T116">
        <f t="shared" si="37"/>
        <v>63.947152192490265</v>
      </c>
      <c r="U116">
        <v>41.358157633547435</v>
      </c>
      <c r="W116">
        <f t="shared" si="30"/>
        <v>123.675</v>
      </c>
      <c r="X116">
        <f t="shared" si="38"/>
        <v>69.196777557273549</v>
      </c>
      <c r="Y116">
        <v>43.775196780574348</v>
      </c>
      <c r="AA116">
        <f t="shared" si="32"/>
        <v>122.44166666666666</v>
      </c>
      <c r="AB116">
        <f t="shared" si="31"/>
        <v>73.178550351040812</v>
      </c>
      <c r="AC116">
        <v>45.549327165577232</v>
      </c>
    </row>
    <row r="117" spans="1:29" x14ac:dyDescent="0.25">
      <c r="A117" s="4">
        <v>46108.754166608793</v>
      </c>
      <c r="B117">
        <v>8.6079944790073082</v>
      </c>
      <c r="C117" s="6">
        <v>121</v>
      </c>
      <c r="D117" s="2">
        <f t="shared" si="33"/>
        <v>78.361517021517685</v>
      </c>
      <c r="E117" s="6">
        <v>48.268417181590202</v>
      </c>
      <c r="F117" s="6"/>
      <c r="G117">
        <f t="shared" si="21"/>
        <v>124.875</v>
      </c>
      <c r="H117">
        <f t="shared" si="34"/>
        <v>65.666315088707123</v>
      </c>
      <c r="I117">
        <v>42.56101242318131</v>
      </c>
      <c r="K117">
        <f t="shared" si="24"/>
        <v>123.19999999999999</v>
      </c>
      <c r="L117">
        <f t="shared" si="35"/>
        <v>70.68514278313495</v>
      </c>
      <c r="M117">
        <v>44.87573835527359</v>
      </c>
      <c r="O117">
        <f t="shared" si="26"/>
        <v>125.12499999999999</v>
      </c>
      <c r="P117">
        <f t="shared" si="36"/>
        <v>64.969333232814748</v>
      </c>
      <c r="Q117">
        <v>42.232988963901605</v>
      </c>
      <c r="S117">
        <f t="shared" si="28"/>
        <v>125.59</v>
      </c>
      <c r="T117">
        <f t="shared" si="37"/>
        <v>63.70588205657819</v>
      </c>
      <c r="U117">
        <v>41.634095076365909</v>
      </c>
      <c r="W117">
        <f t="shared" si="30"/>
        <v>125.06666666666666</v>
      </c>
      <c r="X117">
        <f t="shared" si="38"/>
        <v>65.13083379813466</v>
      </c>
      <c r="Y117">
        <v>42.309144385536129</v>
      </c>
      <c r="AA117">
        <f t="shared" si="32"/>
        <v>122.30833333333334</v>
      </c>
      <c r="AB117">
        <f t="shared" si="31"/>
        <v>73.632674741680901</v>
      </c>
      <c r="AC117">
        <v>46.198518357140351</v>
      </c>
    </row>
    <row r="118" spans="1:29" x14ac:dyDescent="0.25">
      <c r="A118" s="4">
        <v>46108.796527777777</v>
      </c>
      <c r="B118">
        <v>7.8437326595732575</v>
      </c>
      <c r="C118" s="6">
        <v>115.9</v>
      </c>
      <c r="D118" s="2">
        <f t="shared" si="33"/>
        <v>103.19625325270299</v>
      </c>
      <c r="E118" s="6">
        <v>59.737458843265614</v>
      </c>
      <c r="G118">
        <f t="shared" si="21"/>
        <v>126.65</v>
      </c>
      <c r="H118">
        <f t="shared" si="34"/>
        <v>60.976155038046684</v>
      </c>
      <c r="I118">
        <v>41.15997839028531</v>
      </c>
      <c r="K118">
        <f t="shared" si="24"/>
        <v>122.81666666666666</v>
      </c>
      <c r="L118">
        <f t="shared" si="35"/>
        <v>71.926916577932914</v>
      </c>
      <c r="M118">
        <v>46.427445606915128</v>
      </c>
      <c r="O118">
        <f t="shared" si="26"/>
        <v>123.69999999999999</v>
      </c>
      <c r="P118">
        <f t="shared" si="36"/>
        <v>69.119934428358235</v>
      </c>
      <c r="Q118">
        <v>45.11411494619675</v>
      </c>
      <c r="S118">
        <f t="shared" si="28"/>
        <v>124.9</v>
      </c>
      <c r="T118">
        <f t="shared" si="37"/>
        <v>65.596045684318028</v>
      </c>
      <c r="U118">
        <v>43.430491817978876</v>
      </c>
      <c r="W118">
        <f t="shared" si="30"/>
        <v>124.325</v>
      </c>
      <c r="X118">
        <f t="shared" si="38"/>
        <v>67.245313029653062</v>
      </c>
      <c r="Y118">
        <v>44.223452136235444</v>
      </c>
      <c r="AA118">
        <f t="shared" si="32"/>
        <v>122.35000000000001</v>
      </c>
      <c r="AB118">
        <f t="shared" si="31"/>
        <v>73.490238507414148</v>
      </c>
      <c r="AC118">
        <v>47.148758232167395</v>
      </c>
    </row>
    <row r="119" spans="1:29" x14ac:dyDescent="0.25">
      <c r="A119" s="4">
        <v>46108.838194444441</v>
      </c>
      <c r="B119">
        <v>7.2294615002335316</v>
      </c>
      <c r="C119" s="6">
        <v>115.8</v>
      </c>
      <c r="D119" s="2">
        <f t="shared" si="33"/>
        <v>103.82117362556215</v>
      </c>
      <c r="E119" s="6">
        <v>61.242131725045589</v>
      </c>
      <c r="G119">
        <f t="shared" si="21"/>
        <v>119.87500000000001</v>
      </c>
      <c r="H119">
        <f t="shared" si="34"/>
        <v>82.868868385630321</v>
      </c>
      <c r="I119">
        <v>52.30591375483651</v>
      </c>
      <c r="K119">
        <f t="shared" si="24"/>
        <v>121.86666666666666</v>
      </c>
      <c r="L119">
        <f t="shared" si="35"/>
        <v>75.172381551728932</v>
      </c>
      <c r="M119">
        <v>48.788493377271159</v>
      </c>
      <c r="O119">
        <f t="shared" si="26"/>
        <v>121.36249999999998</v>
      </c>
      <c r="P119">
        <f t="shared" si="36"/>
        <v>76.999480117424739</v>
      </c>
      <c r="Q119">
        <v>49.637057844322008</v>
      </c>
      <c r="S119">
        <f t="shared" si="28"/>
        <v>123.26999999999998</v>
      </c>
      <c r="T119">
        <f t="shared" si="37"/>
        <v>70.462364817933306</v>
      </c>
      <c r="U119">
        <v>46.558712410922347</v>
      </c>
      <c r="W119">
        <f t="shared" si="30"/>
        <v>123.96666666666668</v>
      </c>
      <c r="X119">
        <f t="shared" si="38"/>
        <v>68.309288860827721</v>
      </c>
      <c r="Y119">
        <v>45.517884430727428</v>
      </c>
      <c r="AA119">
        <f t="shared" si="32"/>
        <v>121.80000000000001</v>
      </c>
      <c r="AB119">
        <f t="shared" si="31"/>
        <v>75.409641169473446</v>
      </c>
      <c r="AC119">
        <v>48.899185411532201</v>
      </c>
    </row>
    <row r="120" spans="1:29" x14ac:dyDescent="0.25">
      <c r="A120" s="4">
        <v>46108.879861053239</v>
      </c>
      <c r="B120">
        <v>7.1519997500980752</v>
      </c>
      <c r="C120" s="6">
        <v>109.8</v>
      </c>
      <c r="D120" s="2">
        <f t="shared" si="33"/>
        <v>159.83069836746574</v>
      </c>
      <c r="E120" s="6">
        <v>82.656272536185398</v>
      </c>
      <c r="G120">
        <f t="shared" si="21"/>
        <v>115.625</v>
      </c>
      <c r="H120">
        <f t="shared" si="34"/>
        <v>104.93132794107365</v>
      </c>
      <c r="I120">
        <v>61.859551212648114</v>
      </c>
      <c r="K120">
        <f t="shared" si="24"/>
        <v>122.03333333333332</v>
      </c>
      <c r="L120">
        <f t="shared" si="35"/>
        <v>74.584861540489172</v>
      </c>
      <c r="M120">
        <v>48.625132834451421</v>
      </c>
      <c r="O120">
        <f t="shared" si="26"/>
        <v>120.31249999999999</v>
      </c>
      <c r="P120">
        <f t="shared" si="36"/>
        <v>81.063307786433782</v>
      </c>
      <c r="Q120">
        <v>51.615914991754664</v>
      </c>
      <c r="S120">
        <f t="shared" si="28"/>
        <v>121.51999999999998</v>
      </c>
      <c r="T120">
        <f t="shared" si="37"/>
        <v>76.420481225496971</v>
      </c>
      <c r="U120">
        <v>49.483491348178291</v>
      </c>
      <c r="W120">
        <f t="shared" si="30"/>
        <v>122.88333333333333</v>
      </c>
      <c r="X120">
        <f t="shared" si="38"/>
        <v>71.708267418999668</v>
      </c>
      <c r="Y120">
        <v>47.261459247401227</v>
      </c>
      <c r="AA120">
        <f t="shared" si="32"/>
        <v>121.70833333333337</v>
      </c>
      <c r="AB120">
        <f t="shared" si="31"/>
        <v>75.738002120966883</v>
      </c>
      <c r="AC120">
        <v>49.165402895018886</v>
      </c>
    </row>
    <row r="121" spans="1:29" x14ac:dyDescent="0.25">
      <c r="A121" s="4">
        <v>46108.921527719911</v>
      </c>
      <c r="B121">
        <v>7.0508562491228703</v>
      </c>
      <c r="C121" s="6">
        <v>115.6</v>
      </c>
      <c r="D121" s="2">
        <f t="shared" si="33"/>
        <v>105.09166864128083</v>
      </c>
      <c r="E121" s="6">
        <v>62.142967676837216</v>
      </c>
      <c r="G121">
        <f t="shared" si="21"/>
        <v>114.27500000000001</v>
      </c>
      <c r="H121">
        <f t="shared" si="34"/>
        <v>114.27143917132803</v>
      </c>
      <c r="I121">
        <v>65.854295803699273</v>
      </c>
      <c r="K121">
        <f t="shared" si="24"/>
        <v>117.48333333333335</v>
      </c>
      <c r="L121">
        <f t="shared" si="35"/>
        <v>94.132933056758603</v>
      </c>
      <c r="M121">
        <v>57.547985530339695</v>
      </c>
      <c r="O121">
        <f t="shared" si="26"/>
        <v>119.57499999999999</v>
      </c>
      <c r="P121">
        <f t="shared" si="36"/>
        <v>84.148230065844871</v>
      </c>
      <c r="Q121">
        <v>53.171407098062964</v>
      </c>
      <c r="S121">
        <f t="shared" si="28"/>
        <v>119.62999999999997</v>
      </c>
      <c r="T121">
        <f t="shared" si="37"/>
        <v>83.911090028753833</v>
      </c>
      <c r="U121">
        <v>53.064933220928488</v>
      </c>
      <c r="W121">
        <f t="shared" si="30"/>
        <v>121.50833333333331</v>
      </c>
      <c r="X121">
        <f t="shared" si="38"/>
        <v>76.463110095522438</v>
      </c>
      <c r="Y121">
        <v>49.65364532780859</v>
      </c>
      <c r="AA121">
        <f t="shared" si="32"/>
        <v>121.34583333333336</v>
      </c>
      <c r="AB121">
        <f t="shared" ref="AB121:AB152" si="39">(($AG$4/((AA121/$AJ$4)-$AH$4))-$AI$4)*100</f>
        <v>77.061196340794538</v>
      </c>
      <c r="AC121">
        <v>49.932624680383292</v>
      </c>
    </row>
    <row r="122" spans="1:29" x14ac:dyDescent="0.25">
      <c r="A122" s="4">
        <v>46108.963194386575</v>
      </c>
      <c r="B122">
        <v>6.8870239827328499</v>
      </c>
      <c r="C122" s="6">
        <v>111.8</v>
      </c>
      <c r="D122" s="2">
        <f t="shared" si="33"/>
        <v>135.95807533003583</v>
      </c>
      <c r="E122" s="6">
        <v>74.744962425263211</v>
      </c>
      <c r="G122">
        <f t="shared" si="21"/>
        <v>113.25</v>
      </c>
      <c r="H122">
        <f t="shared" si="34"/>
        <v>122.42873197255841</v>
      </c>
      <c r="I122">
        <v>69.500257299309283</v>
      </c>
      <c r="K122">
        <f t="shared" si="24"/>
        <v>114.98333333333333</v>
      </c>
      <c r="L122">
        <f t="shared" si="35"/>
        <v>109.19145194102499</v>
      </c>
      <c r="M122">
        <v>64.189249338528327</v>
      </c>
      <c r="O122">
        <f t="shared" si="26"/>
        <v>119.94999999999999</v>
      </c>
      <c r="P122">
        <f t="shared" si="36"/>
        <v>82.554357753587709</v>
      </c>
      <c r="Q122">
        <v>52.720979457574977</v>
      </c>
      <c r="S122">
        <f t="shared" si="28"/>
        <v>118.98999999999998</v>
      </c>
      <c r="T122">
        <f t="shared" si="37"/>
        <v>86.745467944518879</v>
      </c>
      <c r="U122">
        <v>54.612770389664234</v>
      </c>
      <c r="W122">
        <f t="shared" si="30"/>
        <v>120.21666666666664</v>
      </c>
      <c r="X122">
        <f t="shared" si="38"/>
        <v>81.452877059725168</v>
      </c>
      <c r="Y122">
        <v>52.217299372136694</v>
      </c>
      <c r="AA122">
        <f t="shared" si="32"/>
        <v>120.55000000000001</v>
      </c>
      <c r="AB122">
        <f t="shared" si="39"/>
        <v>80.111782765208346</v>
      </c>
      <c r="AC122">
        <v>51.600233348989775</v>
      </c>
    </row>
    <row r="123" spans="1:29" x14ac:dyDescent="0.25">
      <c r="A123" s="4">
        <v>46109.004861053239</v>
      </c>
      <c r="B123">
        <v>6.8839755284047914</v>
      </c>
      <c r="C123" s="6">
        <v>126.1</v>
      </c>
      <c r="D123" s="2">
        <f t="shared" si="33"/>
        <v>62.367313290731083</v>
      </c>
      <c r="E123" s="6">
        <v>42.983666321671734</v>
      </c>
      <c r="G123">
        <f t="shared" si="21"/>
        <v>115.82499999999999</v>
      </c>
      <c r="H123">
        <f t="shared" si="34"/>
        <v>103.66430598822171</v>
      </c>
      <c r="I123">
        <v>61.912838669020772</v>
      </c>
      <c r="K123">
        <f t="shared" si="24"/>
        <v>115.83333333333333</v>
      </c>
      <c r="L123">
        <f t="shared" si="35"/>
        <v>103.61211156921075</v>
      </c>
      <c r="M123">
        <v>61.891067639176121</v>
      </c>
      <c r="O123">
        <f t="shared" si="26"/>
        <v>117.85000000000001</v>
      </c>
      <c r="P123">
        <f t="shared" si="36"/>
        <v>92.234649818593866</v>
      </c>
      <c r="Q123">
        <v>57.041180322862886</v>
      </c>
      <c r="S123">
        <f t="shared" si="28"/>
        <v>119.44999999999997</v>
      </c>
      <c r="T123">
        <f t="shared" si="37"/>
        <v>84.691593575107433</v>
      </c>
      <c r="U123">
        <v>53.695627250468128</v>
      </c>
      <c r="W123">
        <f t="shared" si="30"/>
        <v>119.51666666666664</v>
      </c>
      <c r="X123">
        <f t="shared" si="38"/>
        <v>84.401033761864724</v>
      </c>
      <c r="Y123">
        <v>53.564397279563138</v>
      </c>
      <c r="AA123">
        <f t="shared" si="32"/>
        <v>120.84583333333336</v>
      </c>
      <c r="AB123">
        <f t="shared" si="39"/>
        <v>78.953564193683576</v>
      </c>
      <c r="AC123">
        <v>51.068617949819981</v>
      </c>
    </row>
    <row r="124" spans="1:29" x14ac:dyDescent="0.25">
      <c r="A124" s="4">
        <v>46109.045833217591</v>
      </c>
      <c r="B124">
        <v>6.6204504587211455</v>
      </c>
      <c r="C124" s="6">
        <v>119.8</v>
      </c>
      <c r="D124" s="2">
        <f t="shared" si="33"/>
        <v>83.185489474233663</v>
      </c>
      <c r="E124" s="6">
        <v>53.454301050579858</v>
      </c>
      <c r="G124">
        <f t="shared" si="21"/>
        <v>118.325</v>
      </c>
      <c r="H124">
        <f t="shared" si="34"/>
        <v>89.874643353706006</v>
      </c>
      <c r="I124">
        <v>56.489285108562648</v>
      </c>
      <c r="K124">
        <f t="shared" si="24"/>
        <v>116.48333333333333</v>
      </c>
      <c r="L124">
        <f t="shared" si="35"/>
        <v>99.681734471258295</v>
      </c>
      <c r="M124">
        <v>60.787020174129061</v>
      </c>
      <c r="O124">
        <f t="shared" si="26"/>
        <v>116.97499999999999</v>
      </c>
      <c r="P124">
        <f t="shared" si="36"/>
        <v>96.88255971642063</v>
      </c>
      <c r="Q124">
        <v>59.577053871527085</v>
      </c>
      <c r="S124">
        <f t="shared" si="28"/>
        <v>120.54999999999998</v>
      </c>
      <c r="T124">
        <f t="shared" si="37"/>
        <v>80.111782765208446</v>
      </c>
      <c r="U124">
        <v>52.0274361217093</v>
      </c>
      <c r="W124">
        <f t="shared" si="30"/>
        <v>119.64999999999998</v>
      </c>
      <c r="X124">
        <f t="shared" si="38"/>
        <v>83.825148565764266</v>
      </c>
      <c r="Y124">
        <v>53.748577890338069</v>
      </c>
      <c r="AA124">
        <f t="shared" si="32"/>
        <v>120.50000000000001</v>
      </c>
      <c r="AB124">
        <f t="shared" si="39"/>
        <v>80.310474576898315</v>
      </c>
      <c r="AC124">
        <v>52.120328673627668</v>
      </c>
    </row>
    <row r="125" spans="1:29" x14ac:dyDescent="0.25">
      <c r="A125" s="4">
        <v>46109.087499884263</v>
      </c>
      <c r="B125">
        <v>6.5007773251359708</v>
      </c>
      <c r="C125" s="6">
        <v>133.6</v>
      </c>
      <c r="D125" s="2">
        <f t="shared" si="33"/>
        <v>47.043729415085778</v>
      </c>
      <c r="E125" s="6">
        <v>35.020904029405067</v>
      </c>
      <c r="G125">
        <f t="shared" si="21"/>
        <v>122.82499999999999</v>
      </c>
      <c r="H125">
        <f t="shared" si="34"/>
        <v>71.899522612104477</v>
      </c>
      <c r="I125">
        <v>48.274171640074798</v>
      </c>
      <c r="K125">
        <f t="shared" si="24"/>
        <v>119.44999999999999</v>
      </c>
      <c r="L125">
        <f t="shared" si="35"/>
        <v>84.691593575107362</v>
      </c>
      <c r="M125">
        <v>54.353016073387295</v>
      </c>
      <c r="O125">
        <f t="shared" si="26"/>
        <v>118.55</v>
      </c>
      <c r="P125">
        <f t="shared" si="36"/>
        <v>88.793825640925107</v>
      </c>
      <c r="Q125">
        <v>56.224175535174012</v>
      </c>
      <c r="S125">
        <f t="shared" si="28"/>
        <v>119.62</v>
      </c>
      <c r="T125">
        <f t="shared" si="37"/>
        <v>83.954118897577175</v>
      </c>
      <c r="U125">
        <v>54.012943309947545</v>
      </c>
      <c r="W125">
        <f t="shared" si="30"/>
        <v>120.6583333333333</v>
      </c>
      <c r="X125">
        <f t="shared" si="38"/>
        <v>79.684220343321485</v>
      </c>
      <c r="Y125">
        <v>52.020390138110429</v>
      </c>
      <c r="AA125">
        <f t="shared" si="32"/>
        <v>121.28750000000002</v>
      </c>
      <c r="AB125">
        <f t="shared" si="39"/>
        <v>77.277882638814958</v>
      </c>
      <c r="AC125">
        <v>50.878795085630749</v>
      </c>
    </row>
    <row r="126" spans="1:29" x14ac:dyDescent="0.25">
      <c r="B126"/>
    </row>
    <row r="127" spans="1:29" x14ac:dyDescent="0.25">
      <c r="B127"/>
    </row>
    <row r="128" spans="1:29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1EF1-5A31-4DA1-A0BD-270C0AC59DA3}">
  <dimension ref="B2:P29"/>
  <sheetViews>
    <sheetView tabSelected="1" workbookViewId="0">
      <selection activeCell="M6" sqref="M6"/>
    </sheetView>
  </sheetViews>
  <sheetFormatPr defaultRowHeight="14.3" x14ac:dyDescent="0.25"/>
  <cols>
    <col min="4" max="4" width="11.875" bestFit="1" customWidth="1"/>
    <col min="5" max="5" width="11.375" bestFit="1" customWidth="1"/>
    <col min="6" max="6" width="11.875" bestFit="1" customWidth="1"/>
  </cols>
  <sheetData>
    <row r="2" spans="2:13" x14ac:dyDescent="0.25">
      <c r="C2" t="s">
        <v>20</v>
      </c>
    </row>
    <row r="4" spans="2:13" ht="14.95" thickBot="1" x14ac:dyDescent="0.3"/>
    <row r="5" spans="2:13" ht="17" x14ac:dyDescent="0.25">
      <c r="B5" s="9"/>
      <c r="C5" s="10" t="s">
        <v>26</v>
      </c>
      <c r="D5" s="9" t="s">
        <v>27</v>
      </c>
      <c r="E5" s="11" t="s">
        <v>28</v>
      </c>
      <c r="F5" s="11" t="s">
        <v>29</v>
      </c>
      <c r="G5" s="11" t="s">
        <v>30</v>
      </c>
      <c r="H5" s="10" t="s">
        <v>31</v>
      </c>
      <c r="I5" s="12" t="s">
        <v>32</v>
      </c>
      <c r="J5" s="9" t="s">
        <v>21</v>
      </c>
      <c r="K5" s="11" t="s">
        <v>22</v>
      </c>
      <c r="L5" s="12" t="s">
        <v>23</v>
      </c>
      <c r="M5" s="13" t="s">
        <v>33</v>
      </c>
    </row>
    <row r="6" spans="2:13" ht="14.95" thickBot="1" x14ac:dyDescent="0.3">
      <c r="B6" s="14">
        <v>0.21990890344044203</v>
      </c>
      <c r="C6" s="15">
        <v>100</v>
      </c>
      <c r="D6" s="14">
        <v>1.0387194222632061</v>
      </c>
      <c r="E6" s="16">
        <v>0.98533899999999996</v>
      </c>
      <c r="F6" s="16">
        <v>1.1708520735801879</v>
      </c>
      <c r="G6" s="16">
        <v>1.0201999591920017</v>
      </c>
      <c r="H6" s="15">
        <f>D6*E6*F6*G6</f>
        <v>1.2225630227556943</v>
      </c>
      <c r="I6" s="17">
        <f>C6*H6</f>
        <v>122.25630227556942</v>
      </c>
      <c r="J6" s="14">
        <v>8.0799999999999997E-2</v>
      </c>
      <c r="K6" s="16">
        <v>0.372</v>
      </c>
      <c r="L6" s="17">
        <v>0.115</v>
      </c>
      <c r="M6" s="18">
        <f>I6/((J6/(B6+L6))+K6)</f>
        <v>199.3548819789568</v>
      </c>
    </row>
    <row r="26" spans="2:16" x14ac:dyDescent="0.25">
      <c r="C26" t="s">
        <v>24</v>
      </c>
    </row>
    <row r="27" spans="2:16" ht="14.95" thickBot="1" x14ac:dyDescent="0.3"/>
    <row r="28" spans="2:16" ht="17" x14ac:dyDescent="0.25">
      <c r="B28" s="19" t="s">
        <v>34</v>
      </c>
      <c r="C28" s="20" t="s">
        <v>35</v>
      </c>
      <c r="D28" s="21" t="s">
        <v>36</v>
      </c>
      <c r="E28" s="22" t="s">
        <v>37</v>
      </c>
      <c r="F28" s="9"/>
      <c r="G28" s="22" t="s">
        <v>38</v>
      </c>
      <c r="H28" s="20" t="s">
        <v>39</v>
      </c>
      <c r="I28" s="20" t="s">
        <v>40</v>
      </c>
      <c r="J28" s="20" t="s">
        <v>41</v>
      </c>
      <c r="K28" s="20" t="s">
        <v>42</v>
      </c>
      <c r="L28" s="20" t="s">
        <v>43</v>
      </c>
      <c r="M28" s="20" t="s">
        <v>44</v>
      </c>
      <c r="N28" s="20" t="s">
        <v>45</v>
      </c>
      <c r="O28" s="20" t="s">
        <v>46</v>
      </c>
      <c r="P28" s="23" t="s">
        <v>47</v>
      </c>
    </row>
    <row r="29" spans="2:16" ht="14.95" thickBot="1" x14ac:dyDescent="0.3">
      <c r="B29" s="24">
        <v>10.210000000000001</v>
      </c>
      <c r="C29" s="25">
        <f>I6</f>
        <v>122.25630227556942</v>
      </c>
      <c r="D29" s="25">
        <f>18/9.81</f>
        <v>1.8348623853211008</v>
      </c>
      <c r="E29" s="25">
        <v>1.43</v>
      </c>
      <c r="F29" s="26">
        <v>0.21990890344044203</v>
      </c>
      <c r="G29" s="27">
        <f>F29*E29/D29</f>
        <v>0.17138600389630848</v>
      </c>
      <c r="H29" s="27">
        <v>1.0940000000000001</v>
      </c>
      <c r="I29" s="27">
        <v>2.8000000000000001E-2</v>
      </c>
      <c r="J29" s="27">
        <v>0.254</v>
      </c>
      <c r="K29" s="27">
        <v>3.5369999999999999</v>
      </c>
      <c r="L29" s="27">
        <v>0.13900000000000001</v>
      </c>
      <c r="M29" s="28">
        <v>-1.4E-3</v>
      </c>
      <c r="N29" s="28">
        <v>-8.8000000000000005E-3</v>
      </c>
      <c r="O29" s="27">
        <v>1.15E-4</v>
      </c>
      <c r="P29" s="29">
        <f>C29/((I29+J29*G29)/(I29+G29)*(H29+N29*B29+O29*B29^2)+EXP(-K29*G29)*(L29+M29*B29))</f>
        <v>282.62800612369517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3C6A-8577-44AF-B991-97FB61432F98}">
  <dimension ref="A1:AK125"/>
  <sheetViews>
    <sheetView topLeftCell="A88" workbookViewId="0">
      <selection activeCell="A88" sqref="A1:A1048576"/>
    </sheetView>
  </sheetViews>
  <sheetFormatPr defaultRowHeight="14.3" x14ac:dyDescent="0.25"/>
  <cols>
    <col min="1" max="1" width="15.125" style="30" bestFit="1" customWidth="1"/>
  </cols>
  <sheetData>
    <row r="1" spans="1:37" x14ac:dyDescent="0.25">
      <c r="A1" s="30" t="s">
        <v>0</v>
      </c>
      <c r="B1" t="s">
        <v>25</v>
      </c>
      <c r="C1" t="s">
        <v>1</v>
      </c>
      <c r="D1" t="s">
        <v>20</v>
      </c>
      <c r="E1" t="s">
        <v>24</v>
      </c>
      <c r="G1" t="s">
        <v>48</v>
      </c>
      <c r="H1" t="s">
        <v>9</v>
      </c>
      <c r="I1" t="s">
        <v>10</v>
      </c>
    </row>
    <row r="2" spans="1:37" x14ac:dyDescent="0.25">
      <c r="A2" s="30">
        <v>46102.828472222223</v>
      </c>
      <c r="B2">
        <v>9.6223871796275127</v>
      </c>
      <c r="C2">
        <v>153</v>
      </c>
      <c r="D2">
        <f>(($AH$4/((C2/$AK$4)-$AI$4))-$AJ$4)*100</f>
        <v>8.9310981132983098</v>
      </c>
      <c r="E2">
        <v>-29.864774228689679</v>
      </c>
      <c r="AH2" t="s">
        <v>20</v>
      </c>
    </row>
    <row r="3" spans="1:37" x14ac:dyDescent="0.25">
      <c r="A3" s="30">
        <v>46102.870138888888</v>
      </c>
      <c r="B3">
        <v>8.9456593165160712</v>
      </c>
      <c r="C3">
        <v>156.6</v>
      </c>
      <c r="D3">
        <f t="shared" ref="D3:D66" si="0">(($AH$4/((C3/$AK$4)-$AI$4))-$AJ$4)*100</f>
        <v>8.0389102485641644</v>
      </c>
      <c r="E3">
        <v>-30.445907920150063</v>
      </c>
      <c r="AH3" t="s">
        <v>21</v>
      </c>
      <c r="AI3" t="s">
        <v>22</v>
      </c>
      <c r="AJ3" t="s">
        <v>23</v>
      </c>
      <c r="AK3" t="s">
        <v>20</v>
      </c>
    </row>
    <row r="4" spans="1:37" x14ac:dyDescent="0.25">
      <c r="A4" s="30">
        <v>46102.911805439813</v>
      </c>
      <c r="B4">
        <v>8.4902548880576028</v>
      </c>
      <c r="C4">
        <v>160.19999999999999</v>
      </c>
      <c r="D4">
        <f t="shared" si="0"/>
        <v>7.2213824701599494</v>
      </c>
      <c r="E4">
        <v>-31.086777210847288</v>
      </c>
      <c r="AH4">
        <v>8.0799999999999997E-2</v>
      </c>
      <c r="AI4">
        <v>0.372</v>
      </c>
      <c r="AJ4">
        <v>0.115</v>
      </c>
      <c r="AK4">
        <v>199.3548819789568</v>
      </c>
    </row>
    <row r="5" spans="1:37" x14ac:dyDescent="0.25">
      <c r="A5" s="30">
        <v>46102.953472048612</v>
      </c>
      <c r="B5">
        <v>8.3223548081764278</v>
      </c>
      <c r="C5">
        <v>127.8</v>
      </c>
      <c r="D5">
        <f t="shared" si="0"/>
        <v>18.529603462931231</v>
      </c>
      <c r="E5">
        <v>15.51558789554997</v>
      </c>
    </row>
    <row r="6" spans="1:37" x14ac:dyDescent="0.25">
      <c r="A6" s="30">
        <v>46102.99513865741</v>
      </c>
      <c r="B6">
        <v>8.153436770106504</v>
      </c>
      <c r="C6">
        <v>155.30000000000001</v>
      </c>
      <c r="D6">
        <f t="shared" si="0"/>
        <v>8.3519566912802361</v>
      </c>
      <c r="E6">
        <v>-29.894237579576831</v>
      </c>
    </row>
    <row r="7" spans="1:37" x14ac:dyDescent="0.25">
      <c r="A7" s="30">
        <v>46103.036805266202</v>
      </c>
      <c r="B7">
        <v>8.0494984347182186</v>
      </c>
      <c r="C7">
        <v>120.3</v>
      </c>
      <c r="D7">
        <f t="shared" si="0"/>
        <v>23.410880110999116</v>
      </c>
      <c r="E7">
        <v>19.016088012348352</v>
      </c>
    </row>
    <row r="8" spans="1:37" x14ac:dyDescent="0.25">
      <c r="A8" s="30">
        <v>46103.078471875</v>
      </c>
      <c r="B8">
        <v>8.2990312927260792</v>
      </c>
      <c r="C8">
        <v>107.1</v>
      </c>
      <c r="D8">
        <f t="shared" si="0"/>
        <v>37.400674969752366</v>
      </c>
      <c r="E8">
        <v>27.870822080900069</v>
      </c>
    </row>
    <row r="9" spans="1:37" x14ac:dyDescent="0.25">
      <c r="A9" s="30">
        <v>46103.120138483799</v>
      </c>
      <c r="B9">
        <v>8.3543929610980001</v>
      </c>
      <c r="C9">
        <v>105.9</v>
      </c>
      <c r="D9">
        <f t="shared" si="0"/>
        <v>39.24947269257116</v>
      </c>
      <c r="E9">
        <v>28.932474656114298</v>
      </c>
      <c r="G9">
        <f>AVERAGE(C2:C9)</f>
        <v>135.77500000000001</v>
      </c>
      <c r="H9">
        <f>(($AH$4/((G9/$AK$4)-$AI$4))-$AJ$4)*100</f>
        <v>14.64278774955412</v>
      </c>
      <c r="I9">
        <v>12.758001188686</v>
      </c>
    </row>
    <row r="10" spans="1:37" x14ac:dyDescent="0.25">
      <c r="A10" s="30">
        <v>46103.16180509259</v>
      </c>
      <c r="B10">
        <v>8.2318584438843416</v>
      </c>
      <c r="C10">
        <v>114.1</v>
      </c>
      <c r="D10">
        <f t="shared" si="0"/>
        <v>28.830197685322144</v>
      </c>
      <c r="E10">
        <v>22.54644911185461</v>
      </c>
      <c r="G10">
        <f t="shared" ref="G10:G73" si="1">AVERAGE(C3:C10)</f>
        <v>130.91249999999999</v>
      </c>
      <c r="H10">
        <f t="shared" ref="H10:H73" si="2">(($AH$4/((G10/$AK$4)-$AI$4))-$AJ$4)*100</f>
        <v>16.882677472224618</v>
      </c>
      <c r="I10">
        <v>14.386772051569141</v>
      </c>
    </row>
    <row r="11" spans="1:37" x14ac:dyDescent="0.25">
      <c r="A11" s="30">
        <v>46103.203471701388</v>
      </c>
      <c r="B11">
        <v>8.1048980819886705</v>
      </c>
      <c r="C11">
        <v>163.4</v>
      </c>
      <c r="D11">
        <f t="shared" si="0"/>
        <v>6.5500642864960641</v>
      </c>
      <c r="E11">
        <v>-31.651580065009284</v>
      </c>
      <c r="G11">
        <f t="shared" si="1"/>
        <v>131.76250000000002</v>
      </c>
      <c r="H11">
        <f t="shared" si="2"/>
        <v>16.463853938647993</v>
      </c>
      <c r="I11">
        <v>14.132786566042322</v>
      </c>
    </row>
    <row r="12" spans="1:37" x14ac:dyDescent="0.25">
      <c r="A12" s="30">
        <v>46103.245138310187</v>
      </c>
      <c r="B12">
        <v>7.9257319850701808</v>
      </c>
      <c r="C12">
        <v>104.5</v>
      </c>
      <c r="D12">
        <f t="shared" si="0"/>
        <v>41.59124261554846</v>
      </c>
      <c r="E12">
        <v>30.627820533070832</v>
      </c>
      <c r="G12">
        <f t="shared" si="1"/>
        <v>124.8</v>
      </c>
      <c r="H12">
        <f t="shared" si="2"/>
        <v>20.308608972883295</v>
      </c>
      <c r="I12">
        <v>16.918634930690899</v>
      </c>
    </row>
    <row r="13" spans="1:37" x14ac:dyDescent="0.25">
      <c r="A13" s="30">
        <v>46103.286804918978</v>
      </c>
      <c r="B13">
        <v>7.6435076995885813</v>
      </c>
      <c r="C13">
        <v>137</v>
      </c>
      <c r="D13">
        <f t="shared" si="0"/>
        <v>14.133161346049377</v>
      </c>
      <c r="E13">
        <v>12.60849927093245</v>
      </c>
      <c r="G13">
        <f t="shared" si="1"/>
        <v>125.95</v>
      </c>
      <c r="H13">
        <f t="shared" si="2"/>
        <v>19.60229671785839</v>
      </c>
      <c r="I13">
        <v>16.534506598494488</v>
      </c>
    </row>
    <row r="14" spans="1:37" x14ac:dyDescent="0.25">
      <c r="A14" s="30">
        <v>46103.328471527777</v>
      </c>
      <c r="B14">
        <v>8.5388074245418544</v>
      </c>
      <c r="C14">
        <v>105.4</v>
      </c>
      <c r="D14">
        <f t="shared" si="0"/>
        <v>40.061724594633638</v>
      </c>
      <c r="E14">
        <v>29.274984589468577</v>
      </c>
      <c r="G14">
        <f t="shared" si="1"/>
        <v>119.71249999999999</v>
      </c>
      <c r="H14">
        <f t="shared" si="2"/>
        <v>23.861133100682714</v>
      </c>
      <c r="I14">
        <v>19.097120732339228</v>
      </c>
    </row>
    <row r="15" spans="1:37" x14ac:dyDescent="0.25">
      <c r="A15" s="30">
        <v>46103.370138136575</v>
      </c>
      <c r="B15">
        <v>9.9477308473479571</v>
      </c>
      <c r="C15">
        <v>106.6</v>
      </c>
      <c r="D15">
        <f t="shared" si="0"/>
        <v>38.154384883954606</v>
      </c>
      <c r="E15">
        <v>27.204814083027699</v>
      </c>
      <c r="G15">
        <f t="shared" si="1"/>
        <v>118</v>
      </c>
      <c r="H15">
        <f t="shared" si="2"/>
        <v>25.242427869580457</v>
      </c>
      <c r="I15">
        <v>19.364424022471049</v>
      </c>
    </row>
    <row r="16" spans="1:37" x14ac:dyDescent="0.25">
      <c r="A16" s="30">
        <v>46103.411804745374</v>
      </c>
      <c r="B16">
        <v>12.107014442367495</v>
      </c>
      <c r="C16">
        <v>111.7</v>
      </c>
      <c r="D16">
        <f t="shared" si="0"/>
        <v>31.408581168190487</v>
      </c>
      <c r="E16">
        <v>22.09700471094521</v>
      </c>
      <c r="G16">
        <f t="shared" si="1"/>
        <v>118.575</v>
      </c>
      <c r="H16">
        <f t="shared" si="2"/>
        <v>24.766757405064343</v>
      </c>
      <c r="I16">
        <v>18.138459979685159</v>
      </c>
    </row>
    <row r="17" spans="1:9" x14ac:dyDescent="0.25">
      <c r="A17" s="30">
        <v>46103.786804224539</v>
      </c>
      <c r="B17">
        <v>12.5447281398447</v>
      </c>
      <c r="C17">
        <v>147.69999999999999</v>
      </c>
      <c r="D17">
        <f t="shared" si="0"/>
        <v>10.403559953133506</v>
      </c>
      <c r="E17">
        <v>-29.617300051218532</v>
      </c>
      <c r="G17">
        <f t="shared" si="1"/>
        <v>123.80000000000001</v>
      </c>
      <c r="H17">
        <f t="shared" si="2"/>
        <v>20.949395018150923</v>
      </c>
      <c r="I17">
        <v>15.606784756803679</v>
      </c>
    </row>
    <row r="18" spans="1:9" x14ac:dyDescent="0.25">
      <c r="A18" s="30">
        <v>46103.82916666667</v>
      </c>
      <c r="B18">
        <v>11.245385358317412</v>
      </c>
      <c r="C18">
        <v>143.1</v>
      </c>
      <c r="D18">
        <f t="shared" si="0"/>
        <v>11.865068501278371</v>
      </c>
      <c r="E18">
        <v>-28.115041880687603</v>
      </c>
      <c r="G18">
        <f t="shared" si="1"/>
        <v>127.425</v>
      </c>
      <c r="H18">
        <f t="shared" si="2"/>
        <v>18.741020053592965</v>
      </c>
      <c r="I18">
        <v>14.633371102708651</v>
      </c>
    </row>
    <row r="19" spans="1:9" x14ac:dyDescent="0.25">
      <c r="A19" s="30">
        <v>46103.870833333334</v>
      </c>
      <c r="B19">
        <v>9.8010455934868936</v>
      </c>
      <c r="C19">
        <v>135.19999999999999</v>
      </c>
      <c r="D19">
        <f t="shared" si="0"/>
        <v>14.889054245621319</v>
      </c>
      <c r="E19">
        <v>12.500937466621508</v>
      </c>
      <c r="G19">
        <f t="shared" si="1"/>
        <v>123.9</v>
      </c>
      <c r="H19">
        <f t="shared" si="2"/>
        <v>20.884156969258726</v>
      </c>
      <c r="I19">
        <v>16.56683648543515</v>
      </c>
    </row>
    <row r="20" spans="1:9" x14ac:dyDescent="0.25">
      <c r="A20" s="30">
        <v>46103.912499999999</v>
      </c>
      <c r="B20">
        <v>8.8297638119975463</v>
      </c>
      <c r="C20">
        <v>137.4</v>
      </c>
      <c r="D20">
        <f t="shared" si="0"/>
        <v>13.971028721948581</v>
      </c>
      <c r="E20">
        <v>-20.69292967727468</v>
      </c>
      <c r="G20">
        <f t="shared" si="1"/>
        <v>128.01250000000002</v>
      </c>
      <c r="H20">
        <f t="shared" si="2"/>
        <v>18.411107707985757</v>
      </c>
      <c r="I20">
        <v>15.24712940271707</v>
      </c>
    </row>
    <row r="21" spans="1:9" x14ac:dyDescent="0.25">
      <c r="A21" s="30">
        <v>46103.95416666667</v>
      </c>
      <c r="B21">
        <v>8.2742907039043647</v>
      </c>
      <c r="C21">
        <v>109</v>
      </c>
      <c r="D21">
        <f t="shared" si="0"/>
        <v>34.733874586060999</v>
      </c>
      <c r="E21">
        <v>26.264056146070853</v>
      </c>
      <c r="G21">
        <f t="shared" si="1"/>
        <v>124.5125</v>
      </c>
      <c r="H21">
        <f t="shared" si="2"/>
        <v>20.490228117971949</v>
      </c>
      <c r="I21">
        <v>16.903492242774451</v>
      </c>
    </row>
    <row r="22" spans="1:9" x14ac:dyDescent="0.25">
      <c r="A22" s="30">
        <v>46103.995833333334</v>
      </c>
      <c r="B22">
        <v>7.8559875469222948</v>
      </c>
      <c r="C22">
        <v>127.3</v>
      </c>
      <c r="D22">
        <f t="shared" si="0"/>
        <v>18.812155331193729</v>
      </c>
      <c r="E22">
        <v>15.890797967839628</v>
      </c>
      <c r="G22">
        <f t="shared" si="1"/>
        <v>127.24999999999999</v>
      </c>
      <c r="H22">
        <f t="shared" si="2"/>
        <v>18.840703235244803</v>
      </c>
      <c r="I22">
        <v>15.911031284448891</v>
      </c>
    </row>
    <row r="23" spans="1:9" x14ac:dyDescent="0.25">
      <c r="A23" s="30">
        <v>46104.036805555559</v>
      </c>
      <c r="B23">
        <v>7.6726199584268118</v>
      </c>
      <c r="C23">
        <v>134.30000000000001</v>
      </c>
      <c r="D23">
        <f t="shared" si="0"/>
        <v>15.283968698193146</v>
      </c>
      <c r="E23">
        <v>13.43053615871913</v>
      </c>
      <c r="G23">
        <f t="shared" si="1"/>
        <v>130.71250000000001</v>
      </c>
      <c r="H23">
        <f t="shared" si="2"/>
        <v>16.98305388547108</v>
      </c>
      <c r="I23">
        <v>14.653421014826371</v>
      </c>
    </row>
    <row r="24" spans="1:9" x14ac:dyDescent="0.25">
      <c r="A24" s="30">
        <v>46104.078472222223</v>
      </c>
      <c r="B24">
        <v>7.4751647062766562</v>
      </c>
      <c r="C24">
        <v>118.4</v>
      </c>
      <c r="D24">
        <f t="shared" si="0"/>
        <v>24.910217731805957</v>
      </c>
      <c r="E24">
        <v>20.319725882036749</v>
      </c>
      <c r="G24">
        <f t="shared" si="1"/>
        <v>131.55000000000001</v>
      </c>
      <c r="H24">
        <f t="shared" si="2"/>
        <v>16.567396727088585</v>
      </c>
      <c r="I24">
        <v>14.42351763442487</v>
      </c>
    </row>
    <row r="25" spans="1:9" x14ac:dyDescent="0.25">
      <c r="A25" s="30">
        <v>46104.120138888888</v>
      </c>
      <c r="B25">
        <v>7.3345433674231986</v>
      </c>
      <c r="C25">
        <v>130.19999999999999</v>
      </c>
      <c r="D25">
        <f t="shared" si="0"/>
        <v>17.243538705405285</v>
      </c>
      <c r="E25">
        <v>14.96235757673662</v>
      </c>
      <c r="G25">
        <f t="shared" si="1"/>
        <v>129.36249999999998</v>
      </c>
      <c r="H25">
        <f t="shared" si="2"/>
        <v>17.679618967802824</v>
      </c>
      <c r="I25">
        <v>15.277451556779331</v>
      </c>
    </row>
    <row r="26" spans="1:9" x14ac:dyDescent="0.25">
      <c r="A26" s="30">
        <v>46104.161805555559</v>
      </c>
      <c r="B26">
        <v>7.2254833195682338</v>
      </c>
      <c r="C26">
        <v>122.6</v>
      </c>
      <c r="D26">
        <f t="shared" si="0"/>
        <v>21.753261388112787</v>
      </c>
      <c r="E26">
        <v>18.23613245050969</v>
      </c>
      <c r="G26">
        <f t="shared" si="1"/>
        <v>126.8</v>
      </c>
      <c r="H26">
        <f t="shared" si="2"/>
        <v>19.10007482777425</v>
      </c>
      <c r="I26">
        <v>16.342984848599272</v>
      </c>
    </row>
    <row r="27" spans="1:9" x14ac:dyDescent="0.25">
      <c r="A27" s="30">
        <v>46104.203472222223</v>
      </c>
      <c r="B27">
        <v>7.0696379289276292</v>
      </c>
      <c r="C27">
        <v>120.3</v>
      </c>
      <c r="D27">
        <f t="shared" si="0"/>
        <v>23.410880110999116</v>
      </c>
      <c r="E27">
        <v>19.476885936498402</v>
      </c>
      <c r="G27">
        <f t="shared" si="1"/>
        <v>124.93749999999999</v>
      </c>
      <c r="H27">
        <f t="shared" si="2"/>
        <v>20.222474659059181</v>
      </c>
      <c r="I27">
        <v>17.213115006178057</v>
      </c>
    </row>
    <row r="28" spans="1:9" x14ac:dyDescent="0.25">
      <c r="A28" s="30">
        <v>46104.245138888888</v>
      </c>
      <c r="B28">
        <v>6.9713488802404662</v>
      </c>
      <c r="C28">
        <v>107.2</v>
      </c>
      <c r="D28">
        <f t="shared" si="0"/>
        <v>37.252670433454469</v>
      </c>
      <c r="E28">
        <v>28.725271791099381</v>
      </c>
      <c r="G28">
        <f t="shared" si="1"/>
        <v>121.16250000000001</v>
      </c>
      <c r="H28">
        <f t="shared" si="2"/>
        <v>22.770262177756557</v>
      </c>
      <c r="I28">
        <v>19.07217055472276</v>
      </c>
    </row>
    <row r="29" spans="1:9" x14ac:dyDescent="0.25">
      <c r="A29" s="30">
        <v>46104.286805555559</v>
      </c>
      <c r="B29">
        <v>7.2279194734155263</v>
      </c>
      <c r="C29">
        <v>113.4</v>
      </c>
      <c r="D29">
        <f t="shared" si="0"/>
        <v>29.549645951379439</v>
      </c>
      <c r="E29">
        <v>23.590051790393709</v>
      </c>
      <c r="G29">
        <f t="shared" si="1"/>
        <v>121.71249999999999</v>
      </c>
      <c r="H29">
        <f t="shared" si="2"/>
        <v>22.373886580723905</v>
      </c>
      <c r="I29">
        <v>18.673241197775251</v>
      </c>
    </row>
    <row r="30" spans="1:9" x14ac:dyDescent="0.25">
      <c r="A30" s="30">
        <v>46104.328472222223</v>
      </c>
      <c r="B30">
        <v>9.2021656768462847</v>
      </c>
      <c r="C30">
        <v>120.9</v>
      </c>
      <c r="D30">
        <f t="shared" si="0"/>
        <v>22.96273001942658</v>
      </c>
      <c r="E30">
        <v>18.199468231662781</v>
      </c>
      <c r="G30">
        <f t="shared" si="1"/>
        <v>120.91249999999999</v>
      </c>
      <c r="H30">
        <f t="shared" si="2"/>
        <v>22.953515875294066</v>
      </c>
      <c r="I30">
        <v>18.19331667038605</v>
      </c>
    </row>
    <row r="31" spans="1:9" x14ac:dyDescent="0.25">
      <c r="A31" s="30">
        <v>46104.66249959491</v>
      </c>
      <c r="B31">
        <v>20.554983852501525</v>
      </c>
      <c r="C31">
        <v>132</v>
      </c>
      <c r="D31">
        <f t="shared" si="0"/>
        <v>16.349029990538483</v>
      </c>
      <c r="E31">
        <v>-28.41946399209564</v>
      </c>
      <c r="G31">
        <f t="shared" si="1"/>
        <v>120.625</v>
      </c>
      <c r="H31">
        <f t="shared" si="2"/>
        <v>23.166695456603065</v>
      </c>
      <c r="I31">
        <v>14.455144598730699</v>
      </c>
    </row>
    <row r="32" spans="1:9" x14ac:dyDescent="0.25">
      <c r="A32" s="30">
        <v>46104.704166203701</v>
      </c>
      <c r="B32">
        <v>18.632510928542189</v>
      </c>
      <c r="C32">
        <v>120.3</v>
      </c>
      <c r="D32">
        <f t="shared" si="0"/>
        <v>23.410880110999116</v>
      </c>
      <c r="E32">
        <v>15.11185813362475</v>
      </c>
      <c r="G32">
        <f t="shared" si="1"/>
        <v>120.86249999999998</v>
      </c>
      <c r="H32">
        <f t="shared" si="2"/>
        <v>22.990402046002096</v>
      </c>
      <c r="I32">
        <v>14.88429429560397</v>
      </c>
    </row>
    <row r="33" spans="1:9" x14ac:dyDescent="0.25">
      <c r="A33" s="30">
        <v>46104.745832812499</v>
      </c>
      <c r="B33">
        <v>14.956348928356816</v>
      </c>
      <c r="C33">
        <v>113.3</v>
      </c>
      <c r="D33">
        <f t="shared" si="0"/>
        <v>29.654525008182965</v>
      </c>
      <c r="E33">
        <v>19.80592002495214</v>
      </c>
      <c r="G33">
        <f t="shared" si="1"/>
        <v>118.74999999999999</v>
      </c>
      <c r="H33">
        <f t="shared" si="2"/>
        <v>24.624423140948583</v>
      </c>
      <c r="I33">
        <v>16.969489442389492</v>
      </c>
    </row>
    <row r="34" spans="1:9" x14ac:dyDescent="0.25">
      <c r="A34" s="30">
        <v>46104.787499421298</v>
      </c>
      <c r="B34">
        <v>11.572341937443225</v>
      </c>
      <c r="C34">
        <v>124.3</v>
      </c>
      <c r="D34">
        <f t="shared" si="0"/>
        <v>20.625807010221063</v>
      </c>
      <c r="E34">
        <v>15.741660683412301</v>
      </c>
      <c r="G34">
        <f t="shared" si="1"/>
        <v>118.96249999999998</v>
      </c>
      <c r="H34">
        <f t="shared" si="2"/>
        <v>24.453083535449714</v>
      </c>
      <c r="I34">
        <v>18.162815072271808</v>
      </c>
    </row>
    <row r="35" spans="1:9" x14ac:dyDescent="0.25">
      <c r="A35" s="30">
        <v>46104.829166030089</v>
      </c>
      <c r="B35">
        <v>9.9697990351932528</v>
      </c>
      <c r="C35">
        <v>133.80000000000001</v>
      </c>
      <c r="D35">
        <f t="shared" si="0"/>
        <v>15.508515780075188</v>
      </c>
      <c r="E35">
        <v>12.875118201128519</v>
      </c>
      <c r="G35">
        <f t="shared" si="1"/>
        <v>120.64999999999998</v>
      </c>
      <c r="H35">
        <f t="shared" si="2"/>
        <v>23.148053432802691</v>
      </c>
      <c r="I35">
        <v>17.9953580201195</v>
      </c>
    </row>
    <row r="36" spans="1:9" x14ac:dyDescent="0.25">
      <c r="A36" s="30">
        <v>46104.870832638888</v>
      </c>
      <c r="B36">
        <v>9.2845810526664216</v>
      </c>
      <c r="C36">
        <v>142.1</v>
      </c>
      <c r="D36">
        <f t="shared" si="0"/>
        <v>12.208975979006835</v>
      </c>
      <c r="E36">
        <v>-27.258108971800233</v>
      </c>
      <c r="G36">
        <f t="shared" si="1"/>
        <v>125.0125</v>
      </c>
      <c r="H36">
        <f t="shared" si="2"/>
        <v>20.175688633740741</v>
      </c>
      <c r="I36">
        <v>16.288737493833601</v>
      </c>
    </row>
    <row r="37" spans="1:9" x14ac:dyDescent="0.25">
      <c r="A37" s="30">
        <v>46104.912499247686</v>
      </c>
      <c r="B37">
        <v>8.5482595451636705</v>
      </c>
      <c r="C37">
        <v>107.5</v>
      </c>
      <c r="D37">
        <f t="shared" si="0"/>
        <v>36.813983925019876</v>
      </c>
      <c r="E37">
        <v>27.348362177251111</v>
      </c>
      <c r="G37">
        <f t="shared" si="1"/>
        <v>124.27499999999999</v>
      </c>
      <c r="H37">
        <f t="shared" si="2"/>
        <v>20.641833058973209</v>
      </c>
      <c r="I37">
        <v>16.89752009586142</v>
      </c>
    </row>
    <row r="38" spans="1:9" x14ac:dyDescent="0.25">
      <c r="A38" s="30">
        <v>46104.954165856485</v>
      </c>
      <c r="B38">
        <v>8.0454288163106611</v>
      </c>
      <c r="C38">
        <v>145.4</v>
      </c>
      <c r="D38">
        <f t="shared" si="0"/>
        <v>11.110721649860107</v>
      </c>
      <c r="E38">
        <v>-27.626816462843717</v>
      </c>
      <c r="G38">
        <f t="shared" si="1"/>
        <v>127.33750000000001</v>
      </c>
      <c r="H38">
        <f t="shared" si="2"/>
        <v>18.790779633408249</v>
      </c>
      <c r="I38">
        <v>15.80335954161605</v>
      </c>
    </row>
    <row r="39" spans="1:9" x14ac:dyDescent="0.25">
      <c r="A39" s="30">
        <v>46104.995832465276</v>
      </c>
      <c r="B39">
        <v>7.7747564174641548</v>
      </c>
      <c r="C39">
        <v>122.4</v>
      </c>
      <c r="D39">
        <f t="shared" si="0"/>
        <v>21.891127360267365</v>
      </c>
      <c r="E39">
        <v>18.089560061478522</v>
      </c>
      <c r="G39">
        <f t="shared" si="1"/>
        <v>126.13749999999999</v>
      </c>
      <c r="H39">
        <f t="shared" si="2"/>
        <v>19.490100432147671</v>
      </c>
      <c r="I39">
        <v>16.402647613186968</v>
      </c>
    </row>
    <row r="40" spans="1:9" x14ac:dyDescent="0.25">
      <c r="A40" s="30">
        <v>46105.037499999999</v>
      </c>
      <c r="B40">
        <v>7.5847110599946967</v>
      </c>
      <c r="C40">
        <v>107.4</v>
      </c>
      <c r="D40">
        <f t="shared" si="0"/>
        <v>36.959332924179456</v>
      </c>
      <c r="E40">
        <v>28.101828362393849</v>
      </c>
      <c r="G40">
        <f t="shared" si="1"/>
        <v>124.52499999999999</v>
      </c>
      <c r="H40">
        <f t="shared" si="2"/>
        <v>20.482288517470177</v>
      </c>
      <c r="I40">
        <v>17.18185644379712</v>
      </c>
    </row>
    <row r="41" spans="1:9" x14ac:dyDescent="0.25">
      <c r="A41" s="30">
        <v>46105.07916666667</v>
      </c>
      <c r="B41">
        <v>7.6906784185139516</v>
      </c>
      <c r="C41">
        <v>127.7</v>
      </c>
      <c r="D41">
        <f t="shared" si="0"/>
        <v>18.585691644647667</v>
      </c>
      <c r="E41">
        <v>15.793136621468589</v>
      </c>
      <c r="G41">
        <f t="shared" si="1"/>
        <v>126.325</v>
      </c>
      <c r="H41">
        <f t="shared" si="2"/>
        <v>19.378710695274737</v>
      </c>
      <c r="I41">
        <v>16.357050463331273</v>
      </c>
    </row>
    <row r="42" spans="1:9" x14ac:dyDescent="0.25">
      <c r="A42" s="30">
        <v>46105.120833391207</v>
      </c>
      <c r="B42">
        <v>7.6687214210860883</v>
      </c>
      <c r="C42">
        <v>122.6</v>
      </c>
      <c r="D42">
        <f t="shared" si="0"/>
        <v>21.753261388112787</v>
      </c>
      <c r="E42">
        <v>18.03982196843711</v>
      </c>
      <c r="G42">
        <f t="shared" si="1"/>
        <v>126.1125</v>
      </c>
      <c r="H42">
        <f t="shared" si="2"/>
        <v>19.505013145700268</v>
      </c>
      <c r="I42">
        <v>16.455397342548412</v>
      </c>
    </row>
    <row r="43" spans="1:9" x14ac:dyDescent="0.25">
      <c r="A43" s="30">
        <v>46105.162500115737</v>
      </c>
      <c r="B43">
        <v>7.655243879045516</v>
      </c>
      <c r="C43">
        <v>113.7</v>
      </c>
      <c r="D43">
        <f t="shared" si="0"/>
        <v>29.238191758191945</v>
      </c>
      <c r="E43">
        <v>23.13662009884278</v>
      </c>
      <c r="G43">
        <f t="shared" si="1"/>
        <v>123.60000000000001</v>
      </c>
      <c r="H43">
        <f t="shared" si="2"/>
        <v>21.080662840087395</v>
      </c>
      <c r="I43">
        <v>17.573919223474473</v>
      </c>
    </row>
    <row r="44" spans="1:9" x14ac:dyDescent="0.25">
      <c r="A44" s="30">
        <v>46105.204166840274</v>
      </c>
      <c r="B44">
        <v>7.5630524180540064</v>
      </c>
      <c r="C44">
        <v>119.1</v>
      </c>
      <c r="D44">
        <f t="shared" si="0"/>
        <v>24.343080180826711</v>
      </c>
      <c r="E44">
        <v>19.886452080241671</v>
      </c>
      <c r="G44">
        <f t="shared" si="1"/>
        <v>120.72500000000002</v>
      </c>
      <c r="H44">
        <f t="shared" si="2"/>
        <v>23.092247464678028</v>
      </c>
      <c r="I44">
        <v>19.021274262162848</v>
      </c>
    </row>
    <row r="45" spans="1:9" x14ac:dyDescent="0.25">
      <c r="A45" s="30">
        <v>46105.245833564812</v>
      </c>
      <c r="B45">
        <v>7.4134988268841111</v>
      </c>
      <c r="C45">
        <v>129.5</v>
      </c>
      <c r="D45">
        <f t="shared" si="0"/>
        <v>17.60711808643201</v>
      </c>
      <c r="E45">
        <v>15.195927397779272</v>
      </c>
      <c r="G45">
        <f t="shared" si="1"/>
        <v>123.47500000000001</v>
      </c>
      <c r="H45">
        <f t="shared" si="2"/>
        <v>21.163245911856286</v>
      </c>
      <c r="I45">
        <v>17.736092262520238</v>
      </c>
    </row>
    <row r="46" spans="1:9" x14ac:dyDescent="0.25">
      <c r="A46" s="30">
        <v>46105.287500289349</v>
      </c>
      <c r="B46">
        <v>7.2980307685372878</v>
      </c>
      <c r="C46">
        <v>111</v>
      </c>
      <c r="D46">
        <f t="shared" si="0"/>
        <v>32.223891155733995</v>
      </c>
      <c r="E46">
        <v>25.302566955454292</v>
      </c>
      <c r="G46">
        <f t="shared" si="1"/>
        <v>119.17500000000001</v>
      </c>
      <c r="H46">
        <f t="shared" si="2"/>
        <v>24.283361598691794</v>
      </c>
      <c r="I46">
        <v>19.97476528351466</v>
      </c>
    </row>
    <row r="47" spans="1:9" x14ac:dyDescent="0.25">
      <c r="A47" s="30">
        <v>46105.329861111109</v>
      </c>
      <c r="B47">
        <v>9.0328170158029018</v>
      </c>
      <c r="C47">
        <v>120.2</v>
      </c>
      <c r="D47">
        <f t="shared" si="0"/>
        <v>23.486707418375939</v>
      </c>
      <c r="E47">
        <v>18.623297641116199</v>
      </c>
      <c r="G47">
        <f t="shared" si="1"/>
        <v>118.9</v>
      </c>
      <c r="H47">
        <f t="shared" si="2"/>
        <v>24.503308580809474</v>
      </c>
      <c r="I47">
        <v>19.299439533228231</v>
      </c>
    </row>
    <row r="48" spans="1:9" x14ac:dyDescent="0.25">
      <c r="A48" s="30">
        <v>46105.371527777781</v>
      </c>
      <c r="B48">
        <v>11.521589675128904</v>
      </c>
      <c r="C48">
        <v>127.7</v>
      </c>
      <c r="D48">
        <f t="shared" si="0"/>
        <v>18.585691644647667</v>
      </c>
      <c r="E48">
        <v>14.441580621715239</v>
      </c>
      <c r="G48">
        <f t="shared" si="1"/>
        <v>121.43750000000001</v>
      </c>
      <c r="H48">
        <f t="shared" si="2"/>
        <v>22.570921575831665</v>
      </c>
      <c r="I48">
        <v>17.00028384355473</v>
      </c>
    </row>
    <row r="49" spans="1:9" x14ac:dyDescent="0.25">
      <c r="A49" s="30">
        <v>46105.579167361109</v>
      </c>
      <c r="B49">
        <v>21.230589269027963</v>
      </c>
      <c r="C49">
        <v>119.5</v>
      </c>
      <c r="D49">
        <f t="shared" si="0"/>
        <v>24.026864098731444</v>
      </c>
      <c r="E49">
        <v>14.72396259248217</v>
      </c>
      <c r="G49">
        <f t="shared" si="1"/>
        <v>120.41250000000001</v>
      </c>
      <c r="H49">
        <f t="shared" si="2"/>
        <v>23.325966314355163</v>
      </c>
      <c r="I49">
        <v>14.364054954298219</v>
      </c>
    </row>
    <row r="50" spans="1:9" x14ac:dyDescent="0.25">
      <c r="A50" s="30">
        <v>46105.620834085646</v>
      </c>
      <c r="B50">
        <v>15.0148822241816</v>
      </c>
      <c r="C50">
        <v>118.1</v>
      </c>
      <c r="D50">
        <f t="shared" si="0"/>
        <v>25.158808294411749</v>
      </c>
      <c r="E50">
        <v>17.25579840186219</v>
      </c>
      <c r="G50">
        <f t="shared" si="1"/>
        <v>119.85000000000001</v>
      </c>
      <c r="H50">
        <f t="shared" si="2"/>
        <v>23.754716871436965</v>
      </c>
      <c r="I50">
        <v>16.445862411497181</v>
      </c>
    </row>
    <row r="51" spans="1:9" x14ac:dyDescent="0.25">
      <c r="A51" s="30">
        <v>46105.662500810184</v>
      </c>
      <c r="B51">
        <v>19.128159175519809</v>
      </c>
      <c r="C51">
        <v>118.4</v>
      </c>
      <c r="D51">
        <f t="shared" si="0"/>
        <v>24.910217731805957</v>
      </c>
      <c r="E51">
        <v>15.768084489880291</v>
      </c>
      <c r="G51">
        <f t="shared" si="1"/>
        <v>120.4375</v>
      </c>
      <c r="H51">
        <f t="shared" si="2"/>
        <v>23.307152647655649</v>
      </c>
      <c r="I51">
        <v>14.915184742690011</v>
      </c>
    </row>
    <row r="52" spans="1:9" x14ac:dyDescent="0.25">
      <c r="A52" s="30">
        <v>46105.704167476855</v>
      </c>
      <c r="B52">
        <v>16.676738515138254</v>
      </c>
      <c r="C52">
        <v>141.19999999999999</v>
      </c>
      <c r="D52">
        <f t="shared" si="0"/>
        <v>12.527264814095407</v>
      </c>
      <c r="E52">
        <v>-29.441344265690113</v>
      </c>
      <c r="G52">
        <f t="shared" si="1"/>
        <v>123.19999999999999</v>
      </c>
      <c r="H52">
        <f t="shared" si="2"/>
        <v>21.346410585062053</v>
      </c>
      <c r="I52">
        <v>14.532393335293662</v>
      </c>
    </row>
    <row r="53" spans="1:9" x14ac:dyDescent="0.25">
      <c r="A53" s="30">
        <v>46105.745834201392</v>
      </c>
      <c r="B53">
        <v>12.33529598019806</v>
      </c>
      <c r="C53">
        <v>126.6</v>
      </c>
      <c r="D53">
        <f t="shared" si="0"/>
        <v>19.216779954472578</v>
      </c>
      <c r="E53">
        <v>14.583708500186891</v>
      </c>
      <c r="G53">
        <f t="shared" si="1"/>
        <v>122.83749999999999</v>
      </c>
      <c r="H53">
        <f t="shared" si="2"/>
        <v>21.591016979686096</v>
      </c>
      <c r="I53">
        <v>16.081842021025569</v>
      </c>
    </row>
    <row r="54" spans="1:9" x14ac:dyDescent="0.25">
      <c r="A54" s="30">
        <v>46105.788194444445</v>
      </c>
      <c r="B54">
        <v>9.6685748638350795</v>
      </c>
      <c r="C54">
        <v>149.9</v>
      </c>
      <c r="D54">
        <f t="shared" si="0"/>
        <v>9.7673328322236124</v>
      </c>
      <c r="E54">
        <v>-29.176646132988658</v>
      </c>
      <c r="G54">
        <f t="shared" si="1"/>
        <v>127.69999999999999</v>
      </c>
      <c r="H54">
        <f t="shared" si="2"/>
        <v>18.585691644647667</v>
      </c>
      <c r="I54">
        <v>15.06795147483005</v>
      </c>
    </row>
    <row r="55" spans="1:9" x14ac:dyDescent="0.25">
      <c r="A55" s="30">
        <v>46105.829861111109</v>
      </c>
      <c r="B55">
        <v>8.2642078306102036</v>
      </c>
      <c r="C55">
        <v>117.8</v>
      </c>
      <c r="D55">
        <f t="shared" si="0"/>
        <v>25.410816693694372</v>
      </c>
      <c r="E55">
        <v>20.269207966459298</v>
      </c>
      <c r="G55">
        <f t="shared" si="1"/>
        <v>127.39999999999998</v>
      </c>
      <c r="H55">
        <f t="shared" si="2"/>
        <v>18.755220386611587</v>
      </c>
      <c r="I55">
        <v>15.69563624639399</v>
      </c>
    </row>
    <row r="56" spans="1:9" x14ac:dyDescent="0.25">
      <c r="A56" s="30">
        <v>46105.871527662035</v>
      </c>
      <c r="B56">
        <v>8.772962033449609</v>
      </c>
      <c r="C56">
        <v>119.7</v>
      </c>
      <c r="D56">
        <f t="shared" si="0"/>
        <v>23.870839168315307</v>
      </c>
      <c r="E56">
        <v>18.996780711928992</v>
      </c>
      <c r="G56">
        <f t="shared" si="1"/>
        <v>126.39999999999999</v>
      </c>
      <c r="H56">
        <f t="shared" si="2"/>
        <v>19.334378688848236</v>
      </c>
      <c r="I56">
        <v>15.907217062060999</v>
      </c>
    </row>
    <row r="57" spans="1:9" x14ac:dyDescent="0.25">
      <c r="A57" s="30">
        <v>46105.913194270834</v>
      </c>
      <c r="B57">
        <v>8.3578314344804543</v>
      </c>
      <c r="C57">
        <v>120.9</v>
      </c>
      <c r="D57">
        <f t="shared" si="0"/>
        <v>22.96273001942658</v>
      </c>
      <c r="E57">
        <v>18.570013241541201</v>
      </c>
      <c r="G57">
        <f t="shared" si="1"/>
        <v>126.57499999999999</v>
      </c>
      <c r="H57">
        <f t="shared" si="2"/>
        <v>19.231430717320691</v>
      </c>
      <c r="I57">
        <v>15.99355245161607</v>
      </c>
    </row>
    <row r="58" spans="1:9" x14ac:dyDescent="0.25">
      <c r="A58" s="30">
        <v>46105.954860879632</v>
      </c>
      <c r="B58">
        <v>8.6845177169027075</v>
      </c>
      <c r="C58">
        <v>113.4</v>
      </c>
      <c r="D58">
        <f t="shared" si="0"/>
        <v>29.549645951379439</v>
      </c>
      <c r="E58">
        <v>22.76206082818846</v>
      </c>
      <c r="G58">
        <f t="shared" si="1"/>
        <v>125.9875</v>
      </c>
      <c r="H58">
        <f t="shared" si="2"/>
        <v>19.579792516630256</v>
      </c>
      <c r="I58">
        <v>16.110524551956708</v>
      </c>
    </row>
    <row r="59" spans="1:9" x14ac:dyDescent="0.25">
      <c r="A59" s="30">
        <v>46105.996527488423</v>
      </c>
      <c r="B59">
        <v>8.362377577536293</v>
      </c>
      <c r="C59">
        <v>116</v>
      </c>
      <c r="D59">
        <f t="shared" si="0"/>
        <v>26.998758749345392</v>
      </c>
      <c r="E59">
        <v>21.27605622771387</v>
      </c>
      <c r="G59">
        <f t="shared" si="1"/>
        <v>125.68749999999999</v>
      </c>
      <c r="H59">
        <f t="shared" si="2"/>
        <v>19.760743284038028</v>
      </c>
      <c r="I59">
        <v>16.36094278572039</v>
      </c>
    </row>
    <row r="60" spans="1:9" x14ac:dyDescent="0.25">
      <c r="A60" s="30">
        <v>46106.038194097222</v>
      </c>
      <c r="B60">
        <v>7.9698141939834226</v>
      </c>
      <c r="C60">
        <v>132.6</v>
      </c>
      <c r="D60">
        <f t="shared" si="0"/>
        <v>16.063105579234389</v>
      </c>
      <c r="E60">
        <v>13.892386394842321</v>
      </c>
      <c r="G60">
        <f t="shared" si="1"/>
        <v>124.6125</v>
      </c>
      <c r="H60">
        <f t="shared" si="2"/>
        <v>20.426821471474721</v>
      </c>
      <c r="I60">
        <v>16.983460074019778</v>
      </c>
    </row>
    <row r="61" spans="1:9" x14ac:dyDescent="0.25">
      <c r="A61" s="30">
        <v>46106.079860706021</v>
      </c>
      <c r="B61">
        <v>8.2081291048304923</v>
      </c>
      <c r="C61">
        <v>112.7</v>
      </c>
      <c r="D61">
        <f t="shared" si="0"/>
        <v>30.295228830647641</v>
      </c>
      <c r="E61">
        <v>23.50839080417072</v>
      </c>
      <c r="G61">
        <f t="shared" si="1"/>
        <v>122.875</v>
      </c>
      <c r="H61">
        <f t="shared" si="2"/>
        <v>21.565544054575646</v>
      </c>
      <c r="I61">
        <v>17.676186915399793</v>
      </c>
    </row>
    <row r="62" spans="1:9" x14ac:dyDescent="0.25">
      <c r="A62" s="30">
        <v>46106.121527314812</v>
      </c>
      <c r="B62">
        <v>9.0105869880659082</v>
      </c>
      <c r="C62">
        <v>120.6</v>
      </c>
      <c r="D62">
        <f t="shared" si="0"/>
        <v>23.185357551495471</v>
      </c>
      <c r="E62">
        <v>18.4315801815622</v>
      </c>
      <c r="G62">
        <f t="shared" si="1"/>
        <v>119.21250000000001</v>
      </c>
      <c r="H62">
        <f t="shared" si="2"/>
        <v>24.253576868890537</v>
      </c>
      <c r="I62">
        <v>19.143974086785228</v>
      </c>
    </row>
    <row r="63" spans="1:9" x14ac:dyDescent="0.25">
      <c r="A63" s="30">
        <v>46106.16319392361</v>
      </c>
      <c r="B63">
        <v>8.9153541152891567</v>
      </c>
      <c r="C63">
        <v>120.2</v>
      </c>
      <c r="D63">
        <f t="shared" si="0"/>
        <v>23.486707418375939</v>
      </c>
      <c r="E63">
        <v>18.675440092067692</v>
      </c>
      <c r="G63">
        <f t="shared" si="1"/>
        <v>119.51250000000002</v>
      </c>
      <c r="H63">
        <f t="shared" si="2"/>
        <v>24.017072224880021</v>
      </c>
      <c r="I63">
        <v>19.029891467827269</v>
      </c>
    </row>
    <row r="64" spans="1:9" x14ac:dyDescent="0.25">
      <c r="A64" s="30">
        <v>46106.20416666667</v>
      </c>
      <c r="B64">
        <v>9.3405571170052966</v>
      </c>
      <c r="C64">
        <v>120.4</v>
      </c>
      <c r="D64">
        <f t="shared" si="0"/>
        <v>23.335380776519226</v>
      </c>
      <c r="E64">
        <v>18.387588602225129</v>
      </c>
      <c r="G64">
        <f t="shared" si="1"/>
        <v>119.60000000000001</v>
      </c>
      <c r="H64">
        <f t="shared" si="2"/>
        <v>23.948679951100736</v>
      </c>
      <c r="I64">
        <v>18.79352477452781</v>
      </c>
    </row>
    <row r="65" spans="1:9" x14ac:dyDescent="0.25">
      <c r="A65" s="30">
        <v>46106.245833333334</v>
      </c>
      <c r="B65">
        <v>8.3978013132539377</v>
      </c>
      <c r="C65">
        <v>129.30000000000001</v>
      </c>
      <c r="D65">
        <f t="shared" si="0"/>
        <v>17.712693445819848</v>
      </c>
      <c r="E65">
        <v>14.914403337064369</v>
      </c>
      <c r="G65">
        <f t="shared" si="1"/>
        <v>120.65</v>
      </c>
      <c r="H65">
        <f t="shared" si="2"/>
        <v>23.148053432802655</v>
      </c>
      <c r="I65">
        <v>18.678299768964639</v>
      </c>
    </row>
    <row r="66" spans="1:9" x14ac:dyDescent="0.25">
      <c r="A66" s="30">
        <v>46106.287499999999</v>
      </c>
      <c r="B66">
        <v>8.1419600614592635</v>
      </c>
      <c r="C66">
        <v>113.6</v>
      </c>
      <c r="D66">
        <f t="shared" si="0"/>
        <v>29.341483361600119</v>
      </c>
      <c r="E66">
        <v>22.929081017217651</v>
      </c>
      <c r="G66">
        <f t="shared" si="1"/>
        <v>120.675</v>
      </c>
      <c r="H66">
        <f t="shared" si="2"/>
        <v>23.129431447731992</v>
      </c>
      <c r="I66">
        <v>18.781111856283019</v>
      </c>
    </row>
    <row r="67" spans="1:9" x14ac:dyDescent="0.25">
      <c r="A67" s="30">
        <v>46106.329861111109</v>
      </c>
      <c r="B67">
        <v>9.2610284964440766</v>
      </c>
      <c r="C67">
        <v>143.5</v>
      </c>
      <c r="D67">
        <f t="shared" ref="D67:D125" si="3">(($AH$4/((C67/$AK$4)-$AI$4))-$AJ$4)*100</f>
        <v>11.730282958012685</v>
      </c>
      <c r="E67">
        <v>-27.574884959579638</v>
      </c>
      <c r="G67">
        <f t="shared" si="1"/>
        <v>124.1125</v>
      </c>
      <c r="H67">
        <f t="shared" si="2"/>
        <v>20.746393382382522</v>
      </c>
      <c r="I67">
        <v>16.684861804181661</v>
      </c>
    </row>
    <row r="68" spans="1:9" x14ac:dyDescent="0.25">
      <c r="A68" s="30">
        <v>46106.538194675923</v>
      </c>
      <c r="B68">
        <v>10.104852088672915</v>
      </c>
      <c r="C68">
        <v>181.3</v>
      </c>
      <c r="D68">
        <f t="shared" si="3"/>
        <v>3.5344193427904527</v>
      </c>
      <c r="E68">
        <v>-36.062877212107949</v>
      </c>
      <c r="G68">
        <f t="shared" si="1"/>
        <v>130.20000000000002</v>
      </c>
      <c r="H68">
        <f t="shared" si="2"/>
        <v>17.243538705405264</v>
      </c>
      <c r="I68">
        <v>14.011459811248139</v>
      </c>
    </row>
    <row r="69" spans="1:9" x14ac:dyDescent="0.25">
      <c r="A69" s="30">
        <v>46106.579861342594</v>
      </c>
      <c r="B69">
        <v>10.984794103094844</v>
      </c>
      <c r="C69">
        <v>134.6</v>
      </c>
      <c r="D69">
        <f t="shared" si="3"/>
        <v>15.151023748666963</v>
      </c>
      <c r="E69">
        <v>12.28138294143397</v>
      </c>
      <c r="G69">
        <f t="shared" si="1"/>
        <v>132.9375</v>
      </c>
      <c r="H69">
        <f t="shared" si="2"/>
        <v>15.904838373577663</v>
      </c>
      <c r="I69">
        <v>12.843396769055099</v>
      </c>
    </row>
    <row r="70" spans="1:9" x14ac:dyDescent="0.25">
      <c r="A70" s="30">
        <v>46106.621528067131</v>
      </c>
      <c r="B70">
        <v>11.104462905512731</v>
      </c>
      <c r="C70">
        <v>122.2</v>
      </c>
      <c r="D70">
        <f t="shared" si="3"/>
        <v>22.030141259302432</v>
      </c>
      <c r="E70">
        <v>16.815435335281531</v>
      </c>
      <c r="G70">
        <f t="shared" si="1"/>
        <v>133.13749999999999</v>
      </c>
      <c r="H70">
        <f t="shared" si="2"/>
        <v>15.811905150389421</v>
      </c>
      <c r="I70">
        <v>12.746997289054502</v>
      </c>
    </row>
    <row r="71" spans="1:9" x14ac:dyDescent="0.25">
      <c r="A71" s="30">
        <v>46106.663194791669</v>
      </c>
      <c r="B71">
        <v>11.732767407416366</v>
      </c>
      <c r="C71">
        <v>102.5</v>
      </c>
      <c r="D71">
        <f t="shared" si="3"/>
        <v>45.337980284540372</v>
      </c>
      <c r="E71">
        <v>29.864089964487672</v>
      </c>
      <c r="G71">
        <f t="shared" si="1"/>
        <v>130.92500000000001</v>
      </c>
      <c r="H71">
        <f t="shared" si="2"/>
        <v>16.876427431371887</v>
      </c>
      <c r="I71">
        <v>13.263443218406969</v>
      </c>
    </row>
    <row r="72" spans="1:9" x14ac:dyDescent="0.25">
      <c r="A72" s="30">
        <v>46106.704861516206</v>
      </c>
      <c r="B72">
        <v>10.937041568311219</v>
      </c>
      <c r="C72">
        <v>113.5</v>
      </c>
      <c r="D72">
        <f t="shared" si="3"/>
        <v>29.445300087762089</v>
      </c>
      <c r="E72">
        <v>21.518721645283282</v>
      </c>
      <c r="G72">
        <f t="shared" si="1"/>
        <v>130.0625</v>
      </c>
      <c r="H72">
        <f t="shared" si="2"/>
        <v>17.314237470397405</v>
      </c>
      <c r="I72">
        <v>13.79373035775377</v>
      </c>
    </row>
    <row r="73" spans="1:9" x14ac:dyDescent="0.25">
      <c r="A73" s="30">
        <v>46106.746528240743</v>
      </c>
      <c r="B73">
        <v>10.147845815403604</v>
      </c>
      <c r="C73">
        <v>112.7</v>
      </c>
      <c r="D73">
        <f t="shared" si="3"/>
        <v>30.295228830647641</v>
      </c>
      <c r="E73">
        <v>22.440147612099189</v>
      </c>
      <c r="G73">
        <f t="shared" si="1"/>
        <v>127.98750000000001</v>
      </c>
      <c r="H73">
        <f t="shared" si="2"/>
        <v>18.424999824771959</v>
      </c>
      <c r="I73">
        <v>14.79328607755944</v>
      </c>
    </row>
    <row r="74" spans="1:9" x14ac:dyDescent="0.25">
      <c r="A74" s="30">
        <v>46106.788888888892</v>
      </c>
      <c r="B74">
        <v>9.3292663667621465</v>
      </c>
      <c r="C74">
        <v>121.1</v>
      </c>
      <c r="D74">
        <f t="shared" si="3"/>
        <v>22.815892602140568</v>
      </c>
      <c r="E74">
        <v>18.047062530840599</v>
      </c>
      <c r="G74">
        <f t="shared" ref="G74:G125" si="4">AVERAGE(C67:C74)</f>
        <v>128.92500000000001</v>
      </c>
      <c r="H74">
        <f t="shared" ref="H74:H125" si="5">(($AH$4/((G74/$AK$4)-$AI$4))-$AJ$4)*100</f>
        <v>17.912725642696238</v>
      </c>
      <c r="I74">
        <v>14.726754649636419</v>
      </c>
    </row>
    <row r="75" spans="1:9" x14ac:dyDescent="0.25">
      <c r="A75" s="30">
        <v>46106.830555555556</v>
      </c>
      <c r="B75">
        <v>8.7608574662248362</v>
      </c>
      <c r="C75">
        <v>131.1</v>
      </c>
      <c r="D75">
        <f t="shared" si="3"/>
        <v>16.789214993643125</v>
      </c>
      <c r="E75">
        <v>14.141503683408779</v>
      </c>
      <c r="G75">
        <f t="shared" si="4"/>
        <v>127.375</v>
      </c>
      <c r="H75">
        <f t="shared" si="5"/>
        <v>18.76943406204991</v>
      </c>
      <c r="I75">
        <v>15.520708095269582</v>
      </c>
    </row>
    <row r="76" spans="1:9" x14ac:dyDescent="0.25">
      <c r="A76" s="30">
        <v>46106.87222222222</v>
      </c>
      <c r="B76">
        <v>8.1267393210846812</v>
      </c>
      <c r="C76">
        <v>121.8</v>
      </c>
      <c r="D76">
        <f t="shared" si="3"/>
        <v>22.311670668103169</v>
      </c>
      <c r="E76">
        <v>18.226276995516891</v>
      </c>
      <c r="G76">
        <f t="shared" si="4"/>
        <v>119.9375</v>
      </c>
      <c r="H76">
        <f t="shared" si="5"/>
        <v>23.687330299192599</v>
      </c>
      <c r="I76">
        <v>19.169314376212409</v>
      </c>
    </row>
    <row r="77" spans="1:9" x14ac:dyDescent="0.25">
      <c r="A77" s="30">
        <v>46106.913194444445</v>
      </c>
      <c r="B77">
        <v>8.069526535388567</v>
      </c>
      <c r="C77">
        <v>120.2</v>
      </c>
      <c r="D77">
        <f t="shared" si="3"/>
        <v>23.486707418375939</v>
      </c>
      <c r="E77">
        <v>19.05875195087485</v>
      </c>
      <c r="G77">
        <f t="shared" si="4"/>
        <v>118.1375</v>
      </c>
      <c r="H77">
        <f t="shared" si="5"/>
        <v>25.127548995584025</v>
      </c>
      <c r="I77">
        <v>20.174032236330529</v>
      </c>
    </row>
    <row r="78" spans="1:9" x14ac:dyDescent="0.25">
      <c r="A78" s="30">
        <v>46106.954861111109</v>
      </c>
      <c r="B78">
        <v>7.6826788609689558</v>
      </c>
      <c r="C78">
        <v>100.9</v>
      </c>
      <c r="D78">
        <f t="shared" si="3"/>
        <v>48.738908601563189</v>
      </c>
      <c r="E78">
        <v>34.89573478088446</v>
      </c>
      <c r="G78">
        <f t="shared" si="4"/>
        <v>115.47499999999999</v>
      </c>
      <c r="H78">
        <f t="shared" si="5"/>
        <v>27.487972260609368</v>
      </c>
      <c r="I78">
        <v>21.959373901018299</v>
      </c>
    </row>
    <row r="79" spans="1:9" x14ac:dyDescent="0.25">
      <c r="A79" s="30">
        <v>46106.996527662035</v>
      </c>
      <c r="B79">
        <v>7.5606441549043923</v>
      </c>
      <c r="C79">
        <v>127.3</v>
      </c>
      <c r="D79">
        <f t="shared" si="3"/>
        <v>18.812155331193729</v>
      </c>
      <c r="E79">
        <v>16.004759704367718</v>
      </c>
      <c r="G79">
        <f t="shared" si="4"/>
        <v>118.57499999999999</v>
      </c>
      <c r="H79">
        <f t="shared" si="5"/>
        <v>24.766757405064364</v>
      </c>
      <c r="I79">
        <v>20.178808991680338</v>
      </c>
    </row>
    <row r="80" spans="1:9" x14ac:dyDescent="0.25">
      <c r="A80" s="30">
        <v>46107.038194270834</v>
      </c>
      <c r="B80">
        <v>7.4906719059155762</v>
      </c>
      <c r="C80">
        <v>121.9</v>
      </c>
      <c r="D80">
        <f t="shared" si="3"/>
        <v>22.240846030339956</v>
      </c>
      <c r="E80">
        <v>18.460358880451942</v>
      </c>
      <c r="G80">
        <f t="shared" si="4"/>
        <v>119.62499999999999</v>
      </c>
      <c r="H80">
        <f t="shared" si="5"/>
        <v>23.929187653453582</v>
      </c>
      <c r="I80">
        <v>19.63582978067226</v>
      </c>
    </row>
    <row r="81" spans="1:9" x14ac:dyDescent="0.25">
      <c r="A81" s="30">
        <v>46107.079860937498</v>
      </c>
      <c r="B81">
        <v>7.3697797254320996</v>
      </c>
      <c r="C81">
        <v>122.6</v>
      </c>
      <c r="D81">
        <f t="shared" si="3"/>
        <v>21.753261388112787</v>
      </c>
      <c r="E81">
        <v>18.171818607469898</v>
      </c>
      <c r="G81">
        <f t="shared" si="4"/>
        <v>120.8625</v>
      </c>
      <c r="H81">
        <f t="shared" si="5"/>
        <v>22.990402046002078</v>
      </c>
      <c r="I81">
        <v>19.040270138746099</v>
      </c>
    </row>
    <row r="82" spans="1:9" x14ac:dyDescent="0.25">
      <c r="A82" s="30">
        <v>46107.121527604169</v>
      </c>
      <c r="B82">
        <v>7.587326419795752</v>
      </c>
      <c r="C82">
        <v>142.30000000000001</v>
      </c>
      <c r="D82">
        <f t="shared" si="3"/>
        <v>12.139386951769989</v>
      </c>
      <c r="E82">
        <v>-26.77476932713498</v>
      </c>
      <c r="G82">
        <f t="shared" si="4"/>
        <v>123.51249999999999</v>
      </c>
      <c r="H82">
        <f t="shared" si="5"/>
        <v>21.138427065370653</v>
      </c>
      <c r="I82">
        <v>17.6436395404269</v>
      </c>
    </row>
    <row r="83" spans="1:9" x14ac:dyDescent="0.25">
      <c r="A83" s="30">
        <v>46107.163194270834</v>
      </c>
      <c r="B83">
        <v>7.5242138080462064</v>
      </c>
      <c r="C83">
        <v>177</v>
      </c>
      <c r="D83">
        <f t="shared" si="3"/>
        <v>4.1630464654323198</v>
      </c>
      <c r="E83">
        <v>-34.297041080363741</v>
      </c>
      <c r="G83">
        <f t="shared" si="4"/>
        <v>129.25</v>
      </c>
      <c r="H83">
        <f t="shared" si="5"/>
        <v>17.739207061704025</v>
      </c>
      <c r="I83">
        <v>15.250083738950909</v>
      </c>
    </row>
    <row r="84" spans="1:9" x14ac:dyDescent="0.25">
      <c r="A84" s="30">
        <v>46107.204860937498</v>
      </c>
      <c r="B84">
        <v>8.5916908887261325</v>
      </c>
      <c r="C84">
        <v>126.7</v>
      </c>
      <c r="D84">
        <f t="shared" si="3"/>
        <v>19.158316327969199</v>
      </c>
      <c r="E84">
        <v>15.853706700201661</v>
      </c>
      <c r="G84">
        <f t="shared" si="4"/>
        <v>129.86250000000001</v>
      </c>
      <c r="H84">
        <f t="shared" si="5"/>
        <v>17.417695109809483</v>
      </c>
      <c r="I84">
        <v>14.63915544319328</v>
      </c>
    </row>
    <row r="85" spans="1:9" x14ac:dyDescent="0.25">
      <c r="A85" s="30">
        <v>46107.246527604169</v>
      </c>
      <c r="B85">
        <v>8.5117150426874577</v>
      </c>
      <c r="C85">
        <v>110.8</v>
      </c>
      <c r="D85">
        <f t="shared" si="3"/>
        <v>32.462558788724785</v>
      </c>
      <c r="E85">
        <v>24.704898146624039</v>
      </c>
      <c r="G85">
        <f t="shared" si="4"/>
        <v>128.6875</v>
      </c>
      <c r="H85">
        <f t="shared" si="5"/>
        <v>18.040835759650491</v>
      </c>
      <c r="I85">
        <v>15.103837870245179</v>
      </c>
    </row>
    <row r="86" spans="1:9" x14ac:dyDescent="0.25">
      <c r="A86" s="30">
        <v>46107.288194270834</v>
      </c>
      <c r="B86">
        <v>8.1066562587109079</v>
      </c>
      <c r="C86">
        <v>134.6</v>
      </c>
      <c r="D86">
        <f t="shared" si="3"/>
        <v>15.151023748666963</v>
      </c>
      <c r="E86">
        <v>13.19649787384915</v>
      </c>
      <c r="G86">
        <f t="shared" si="4"/>
        <v>132.89999999999998</v>
      </c>
      <c r="H86">
        <f t="shared" si="5"/>
        <v>15.922333806342714</v>
      </c>
      <c r="I86">
        <v>13.746625143001351</v>
      </c>
    </row>
    <row r="87" spans="1:9" x14ac:dyDescent="0.25">
      <c r="A87" s="30">
        <v>46107.330555555556</v>
      </c>
      <c r="B87">
        <v>7.0601129083761496</v>
      </c>
      <c r="C87">
        <v>142.6</v>
      </c>
      <c r="D87">
        <f t="shared" si="3"/>
        <v>12.035766002713432</v>
      </c>
      <c r="E87">
        <v>-26.68033830210436</v>
      </c>
      <c r="G87">
        <f t="shared" si="4"/>
        <v>134.8125</v>
      </c>
      <c r="H87">
        <f t="shared" si="5"/>
        <v>15.057650119392823</v>
      </c>
      <c r="I87">
        <v>13.465433108072311</v>
      </c>
    </row>
    <row r="88" spans="1:9" x14ac:dyDescent="0.25">
      <c r="A88" s="30">
        <v>46107.37222222222</v>
      </c>
      <c r="B88">
        <v>6.9821985827707866</v>
      </c>
      <c r="C88">
        <v>176.5</v>
      </c>
      <c r="D88">
        <f t="shared" si="3"/>
        <v>4.2395710351457128</v>
      </c>
      <c r="E88">
        <v>-34.008682251135539</v>
      </c>
      <c r="G88">
        <f t="shared" si="4"/>
        <v>141.63749999999999</v>
      </c>
      <c r="H88">
        <f t="shared" si="5"/>
        <v>12.371480576924558</v>
      </c>
      <c r="I88">
        <v>-26.437086719879371</v>
      </c>
    </row>
    <row r="89" spans="1:9" x14ac:dyDescent="0.25">
      <c r="A89" s="30">
        <v>46107.413888773146</v>
      </c>
      <c r="B89">
        <v>7.4298898910583002</v>
      </c>
      <c r="C89">
        <v>150.80000000000001</v>
      </c>
      <c r="D89">
        <f t="shared" si="3"/>
        <v>9.5175859171796322</v>
      </c>
      <c r="E89">
        <v>-28.652815342318373</v>
      </c>
      <c r="G89">
        <f t="shared" si="4"/>
        <v>145.16249999999999</v>
      </c>
      <c r="H89">
        <f t="shared" si="5"/>
        <v>11.186353460137557</v>
      </c>
      <c r="I89">
        <v>-27.378727191052509</v>
      </c>
    </row>
    <row r="90" spans="1:9" x14ac:dyDescent="0.25">
      <c r="A90" s="30">
        <v>46107.455555381945</v>
      </c>
      <c r="B90">
        <v>7.5213643392254497</v>
      </c>
      <c r="C90">
        <v>139.30000000000001</v>
      </c>
      <c r="D90">
        <f t="shared" si="3"/>
        <v>13.228090948995607</v>
      </c>
      <c r="E90">
        <v>-26.066942561179964</v>
      </c>
      <c r="G90">
        <f t="shared" si="4"/>
        <v>144.78749999999999</v>
      </c>
      <c r="H90">
        <f t="shared" si="5"/>
        <v>11.306807737669738</v>
      </c>
      <c r="I90">
        <v>-27.322094620267961</v>
      </c>
    </row>
    <row r="91" spans="1:9" x14ac:dyDescent="0.25">
      <c r="A91" s="30">
        <v>46107.497221990743</v>
      </c>
      <c r="B91">
        <v>7.3408738614296736</v>
      </c>
      <c r="C91">
        <v>124</v>
      </c>
      <c r="D91">
        <f t="shared" si="3"/>
        <v>20.8191807103744</v>
      </c>
      <c r="E91">
        <v>17.523619862551591</v>
      </c>
      <c r="G91">
        <f t="shared" si="4"/>
        <v>138.16249999999999</v>
      </c>
      <c r="H91">
        <f t="shared" si="5"/>
        <v>13.667577071077202</v>
      </c>
      <c r="I91">
        <v>12.347081380058029</v>
      </c>
    </row>
    <row r="92" spans="1:9" x14ac:dyDescent="0.25">
      <c r="A92" s="30">
        <v>46107.538888599534</v>
      </c>
      <c r="B92">
        <v>7.2022261470236444</v>
      </c>
      <c r="C92">
        <v>119.4</v>
      </c>
      <c r="D92">
        <f t="shared" si="3"/>
        <v>24.105393888163405</v>
      </c>
      <c r="E92">
        <v>19.898120249339772</v>
      </c>
      <c r="G92">
        <f t="shared" si="4"/>
        <v>137.25</v>
      </c>
      <c r="H92">
        <f t="shared" si="5"/>
        <v>14.031587531317063</v>
      </c>
      <c r="I92">
        <v>12.669355537909018</v>
      </c>
    </row>
    <row r="93" spans="1:9" x14ac:dyDescent="0.25">
      <c r="A93" s="30">
        <v>46107.580555092594</v>
      </c>
      <c r="B93">
        <v>7.7275329937438091</v>
      </c>
      <c r="C93">
        <v>124.2</v>
      </c>
      <c r="D93">
        <f t="shared" si="3"/>
        <v>20.690007284689504</v>
      </c>
      <c r="E93">
        <v>17.268605385488041</v>
      </c>
      <c r="G93">
        <f t="shared" si="4"/>
        <v>138.92499999999998</v>
      </c>
      <c r="H93">
        <f t="shared" si="5"/>
        <v>13.371270697478893</v>
      </c>
      <c r="I93">
        <v>-26.043530883030119</v>
      </c>
    </row>
    <row r="94" spans="1:9" x14ac:dyDescent="0.25">
      <c r="A94" s="30">
        <v>46107.621527777781</v>
      </c>
      <c r="B94">
        <v>7.7229048938403198</v>
      </c>
      <c r="C94">
        <v>114.9</v>
      </c>
      <c r="D94">
        <f t="shared" si="3"/>
        <v>28.038244546007668</v>
      </c>
      <c r="E94">
        <v>22.304433013192551</v>
      </c>
      <c r="G94">
        <f t="shared" si="4"/>
        <v>136.46250000000001</v>
      </c>
      <c r="H94">
        <f t="shared" si="5"/>
        <v>14.354305405807406</v>
      </c>
      <c r="I94">
        <v>12.74401106125481</v>
      </c>
    </row>
    <row r="95" spans="1:9" x14ac:dyDescent="0.25">
      <c r="A95" s="30">
        <v>46107.663194444445</v>
      </c>
      <c r="B95">
        <v>7.6190161261470015</v>
      </c>
      <c r="C95">
        <v>129</v>
      </c>
      <c r="D95">
        <f t="shared" si="3"/>
        <v>17.872500349649638</v>
      </c>
      <c r="E95">
        <v>15.310606741197891</v>
      </c>
      <c r="G95">
        <f t="shared" si="4"/>
        <v>134.76249999999999</v>
      </c>
      <c r="H95">
        <f t="shared" si="5"/>
        <v>15.07956147385277</v>
      </c>
      <c r="I95">
        <v>13.3002286700043</v>
      </c>
    </row>
    <row r="96" spans="1:9" x14ac:dyDescent="0.25">
      <c r="A96" s="30">
        <v>46107.704861111109</v>
      </c>
      <c r="B96">
        <v>5.873290640447653</v>
      </c>
      <c r="C96">
        <v>112</v>
      </c>
      <c r="D96">
        <f t="shared" si="3"/>
        <v>31.068396711897538</v>
      </c>
      <c r="E96">
        <v>25.450214936867351</v>
      </c>
      <c r="G96">
        <f t="shared" si="4"/>
        <v>126.7</v>
      </c>
      <c r="H96">
        <f t="shared" si="5"/>
        <v>19.158316327969199</v>
      </c>
      <c r="I96">
        <v>16.941377528297032</v>
      </c>
    </row>
    <row r="97" spans="1:9" x14ac:dyDescent="0.25">
      <c r="A97" s="30">
        <v>46107.746527662035</v>
      </c>
      <c r="B97">
        <v>6.0642661064603889</v>
      </c>
      <c r="C97">
        <v>124.3</v>
      </c>
      <c r="D97">
        <f t="shared" si="3"/>
        <v>20.625807010221063</v>
      </c>
      <c r="E97">
        <v>17.943136420797721</v>
      </c>
      <c r="G97">
        <f t="shared" si="4"/>
        <v>123.3875</v>
      </c>
      <c r="H97">
        <f t="shared" si="5"/>
        <v>21.221303602208096</v>
      </c>
      <c r="I97">
        <v>18.379663680519638</v>
      </c>
    </row>
    <row r="98" spans="1:9" x14ac:dyDescent="0.25">
      <c r="A98" s="30">
        <v>46107.788194270834</v>
      </c>
      <c r="B98">
        <v>7.7923019041223718</v>
      </c>
      <c r="C98">
        <v>130.9</v>
      </c>
      <c r="D98">
        <f t="shared" si="3"/>
        <v>16.888930266885328</v>
      </c>
      <c r="E98">
        <v>14.543806943146009</v>
      </c>
      <c r="G98">
        <f t="shared" si="4"/>
        <v>122.33749999999999</v>
      </c>
      <c r="H98">
        <f t="shared" si="5"/>
        <v>21.934445219377302</v>
      </c>
      <c r="I98">
        <v>18.112037366126671</v>
      </c>
    </row>
    <row r="99" spans="1:9" x14ac:dyDescent="0.25">
      <c r="A99" s="30">
        <v>46107.830555092594</v>
      </c>
      <c r="B99">
        <v>7.4082164357259073</v>
      </c>
      <c r="C99">
        <v>119</v>
      </c>
      <c r="D99">
        <f t="shared" si="3"/>
        <v>24.423015713938629</v>
      </c>
      <c r="E99">
        <v>20.017285382799219</v>
      </c>
      <c r="G99">
        <f t="shared" si="4"/>
        <v>121.71249999999999</v>
      </c>
      <c r="H99">
        <f t="shared" si="5"/>
        <v>22.373886580723905</v>
      </c>
      <c r="I99">
        <v>18.59093829854833</v>
      </c>
    </row>
    <row r="100" spans="1:9" x14ac:dyDescent="0.25">
      <c r="A100" s="30">
        <v>46107.872221817132</v>
      </c>
      <c r="B100">
        <v>7.2854443739869659</v>
      </c>
      <c r="C100">
        <v>128.1</v>
      </c>
      <c r="D100">
        <f t="shared" si="3"/>
        <v>18.362586708626267</v>
      </c>
      <c r="E100">
        <v>15.788621196343049</v>
      </c>
      <c r="G100">
        <f t="shared" si="4"/>
        <v>122.8</v>
      </c>
      <c r="H100">
        <f t="shared" si="5"/>
        <v>21.61652918255178</v>
      </c>
      <c r="I100">
        <v>18.112711359407623</v>
      </c>
    </row>
    <row r="101" spans="1:9" x14ac:dyDescent="0.25">
      <c r="A101" s="30">
        <v>46107.913888541669</v>
      </c>
      <c r="B101">
        <v>7.3731100098499995</v>
      </c>
      <c r="C101">
        <v>114.7</v>
      </c>
      <c r="D101">
        <f t="shared" si="3"/>
        <v>28.233302563987177</v>
      </c>
      <c r="E101">
        <v>22.628345543856359</v>
      </c>
      <c r="G101">
        <f t="shared" si="4"/>
        <v>121.61250000000001</v>
      </c>
      <c r="H101">
        <f t="shared" si="5"/>
        <v>22.445271435201423</v>
      </c>
      <c r="I101">
        <v>18.657009100920259</v>
      </c>
    </row>
    <row r="102" spans="1:9" x14ac:dyDescent="0.25">
      <c r="A102" s="30">
        <v>46107.955555266206</v>
      </c>
      <c r="B102">
        <v>6.686145352443627</v>
      </c>
      <c r="C102">
        <v>108.2</v>
      </c>
      <c r="D102">
        <f t="shared" si="3"/>
        <v>35.820452645949231</v>
      </c>
      <c r="E102">
        <v>28.02740250460614</v>
      </c>
      <c r="G102">
        <f t="shared" si="4"/>
        <v>120.77500000000002</v>
      </c>
      <c r="H102">
        <f t="shared" si="5"/>
        <v>23.055143249930211</v>
      </c>
      <c r="I102">
        <v>19.409929780131289</v>
      </c>
    </row>
    <row r="103" spans="1:9" x14ac:dyDescent="0.25">
      <c r="A103" s="30">
        <v>46107.997221990743</v>
      </c>
      <c r="B103">
        <v>5.6091661443961689</v>
      </c>
      <c r="C103">
        <v>128.6</v>
      </c>
      <c r="D103">
        <f t="shared" si="3"/>
        <v>18.088315992810287</v>
      </c>
      <c r="E103">
        <v>16.249988035306359</v>
      </c>
      <c r="G103">
        <f t="shared" si="4"/>
        <v>120.72500000000002</v>
      </c>
      <c r="H103">
        <f t="shared" si="5"/>
        <v>23.092247464678028</v>
      </c>
      <c r="I103">
        <v>19.967653572242089</v>
      </c>
    </row>
    <row r="104" spans="1:9" x14ac:dyDescent="0.25">
      <c r="A104" s="30">
        <v>46108.03888871528</v>
      </c>
      <c r="B104">
        <v>5.1612350089038523</v>
      </c>
      <c r="C104">
        <v>120.6</v>
      </c>
      <c r="D104">
        <f t="shared" si="3"/>
        <v>23.185357551495471</v>
      </c>
      <c r="E104">
        <v>20.26478455430739</v>
      </c>
      <c r="G104">
        <f t="shared" si="4"/>
        <v>121.80000000000001</v>
      </c>
      <c r="H104">
        <f t="shared" si="5"/>
        <v>22.311670668103169</v>
      </c>
      <c r="I104">
        <v>19.61665654092501</v>
      </c>
    </row>
    <row r="105" spans="1:9" x14ac:dyDescent="0.25">
      <c r="A105" s="30">
        <v>46108.080555439818</v>
      </c>
      <c r="B105">
        <v>4.6804282621033817</v>
      </c>
      <c r="C105">
        <v>104.3</v>
      </c>
      <c r="D105">
        <f t="shared" si="3"/>
        <v>41.943540365838913</v>
      </c>
      <c r="E105">
        <v>33.579567113755218</v>
      </c>
      <c r="G105">
        <f t="shared" si="4"/>
        <v>119.3</v>
      </c>
      <c r="H105">
        <f t="shared" si="5"/>
        <v>24.184271616529507</v>
      </c>
      <c r="I105">
        <v>21.261387466216817</v>
      </c>
    </row>
    <row r="106" spans="1:9" x14ac:dyDescent="0.25">
      <c r="A106" s="30">
        <v>46108.12222222222</v>
      </c>
      <c r="B106">
        <v>4.7645628104437918</v>
      </c>
      <c r="C106">
        <v>124.8</v>
      </c>
      <c r="D106">
        <f t="shared" si="3"/>
        <v>20.308608972883295</v>
      </c>
      <c r="E106">
        <v>18.300283591373699</v>
      </c>
      <c r="G106">
        <f t="shared" si="4"/>
        <v>118.53749999999999</v>
      </c>
      <c r="H106">
        <f t="shared" si="5"/>
        <v>24.797403653635758</v>
      </c>
      <c r="I106">
        <v>21.669516385700501</v>
      </c>
    </row>
    <row r="107" spans="1:9" x14ac:dyDescent="0.25">
      <c r="A107" s="30">
        <v>46108.163888888892</v>
      </c>
      <c r="B107">
        <v>4.8900327358988669</v>
      </c>
      <c r="C107">
        <v>120.1</v>
      </c>
      <c r="D107">
        <f t="shared" si="3"/>
        <v>23.562864840397737</v>
      </c>
      <c r="E107">
        <v>20.686484544179379</v>
      </c>
      <c r="G107">
        <f t="shared" si="4"/>
        <v>118.675</v>
      </c>
      <c r="H107">
        <f t="shared" si="5"/>
        <v>24.685286506448691</v>
      </c>
      <c r="I107">
        <v>21.51712912950671</v>
      </c>
    </row>
    <row r="108" spans="1:9" x14ac:dyDescent="0.25">
      <c r="A108" s="30">
        <v>46108.379166666666</v>
      </c>
      <c r="B108">
        <v>5.3426629926651907</v>
      </c>
      <c r="C108">
        <v>122.8</v>
      </c>
      <c r="D108">
        <f t="shared" si="3"/>
        <v>21.61652918255178</v>
      </c>
      <c r="E108">
        <v>19.010592815279708</v>
      </c>
      <c r="G108">
        <f t="shared" si="4"/>
        <v>118.01249999999999</v>
      </c>
      <c r="H108">
        <f t="shared" si="5"/>
        <v>25.231954566645619</v>
      </c>
      <c r="I108">
        <v>21.666612321454021</v>
      </c>
    </row>
    <row r="109" spans="1:9" x14ac:dyDescent="0.25">
      <c r="A109" s="30">
        <v>46108.42083333333</v>
      </c>
      <c r="B109">
        <v>5.9064784568901878</v>
      </c>
      <c r="C109">
        <v>132.1</v>
      </c>
      <c r="D109">
        <f t="shared" si="3"/>
        <v>16.300964685520857</v>
      </c>
      <c r="E109">
        <v>14.789303721084179</v>
      </c>
      <c r="G109">
        <f t="shared" si="4"/>
        <v>120.1875</v>
      </c>
      <c r="H109">
        <f t="shared" si="5"/>
        <v>23.49620899885867</v>
      </c>
      <c r="I109">
        <v>20.11118768097888</v>
      </c>
    </row>
    <row r="110" spans="1:9" x14ac:dyDescent="0.25">
      <c r="A110" s="30">
        <v>46108.462499942128</v>
      </c>
      <c r="B110">
        <v>6.2542607043511937</v>
      </c>
      <c r="C110">
        <v>127.3</v>
      </c>
      <c r="D110">
        <f t="shared" si="3"/>
        <v>18.812155331193729</v>
      </c>
      <c r="E110">
        <v>16.526094060325001</v>
      </c>
      <c r="G110">
        <f t="shared" si="4"/>
        <v>122.57499999999999</v>
      </c>
      <c r="H110">
        <f t="shared" si="5"/>
        <v>21.770432343624289</v>
      </c>
      <c r="I110">
        <v>18.6918288306283</v>
      </c>
    </row>
    <row r="111" spans="1:9" x14ac:dyDescent="0.25">
      <c r="A111" s="30">
        <v>46108.504166608793</v>
      </c>
      <c r="B111">
        <v>6.3579089509643856</v>
      </c>
      <c r="C111">
        <v>134.5</v>
      </c>
      <c r="D111">
        <f t="shared" si="3"/>
        <v>15.195191847536771</v>
      </c>
      <c r="E111">
        <v>13.80146297492133</v>
      </c>
      <c r="G111">
        <f t="shared" si="4"/>
        <v>123.31249999999999</v>
      </c>
      <c r="H111">
        <f t="shared" si="5"/>
        <v>21.271231857613621</v>
      </c>
      <c r="I111">
        <v>18.28184603177429</v>
      </c>
    </row>
    <row r="112" spans="1:9" x14ac:dyDescent="0.25">
      <c r="A112" s="30">
        <v>46108.545833275464</v>
      </c>
      <c r="B112">
        <v>6.5588506674092271</v>
      </c>
      <c r="C112">
        <v>118.2</v>
      </c>
      <c r="D112">
        <f t="shared" si="3"/>
        <v>25.075568463138261</v>
      </c>
      <c r="E112">
        <v>20.901925221207442</v>
      </c>
      <c r="G112">
        <f t="shared" si="4"/>
        <v>123.0125</v>
      </c>
      <c r="H112">
        <f t="shared" si="5"/>
        <v>21.472477910457894</v>
      </c>
      <c r="I112">
        <v>18.336095184919198</v>
      </c>
    </row>
    <row r="113" spans="1:9" x14ac:dyDescent="0.25">
      <c r="A113" s="30">
        <v>46108.587499942128</v>
      </c>
      <c r="B113">
        <v>6.9550486478250289</v>
      </c>
      <c r="C113">
        <v>121.5</v>
      </c>
      <c r="D113">
        <f t="shared" si="3"/>
        <v>22.525939883340712</v>
      </c>
      <c r="E113">
        <v>18.906830189256212</v>
      </c>
      <c r="G113">
        <f t="shared" si="4"/>
        <v>125.16249999999999</v>
      </c>
      <c r="H113">
        <f t="shared" si="5"/>
        <v>20.082529380869445</v>
      </c>
      <c r="I113">
        <v>17.160874812036532</v>
      </c>
    </row>
    <row r="114" spans="1:9" x14ac:dyDescent="0.25">
      <c r="A114" s="30">
        <v>46108.629166608793</v>
      </c>
      <c r="B114">
        <v>6.7955027198451914</v>
      </c>
      <c r="C114">
        <v>108.8</v>
      </c>
      <c r="D114">
        <f t="shared" si="3"/>
        <v>35.000813939811415</v>
      </c>
      <c r="E114">
        <v>27.425919696213992</v>
      </c>
      <c r="G114">
        <f t="shared" si="4"/>
        <v>123.16249999999999</v>
      </c>
      <c r="H114">
        <f t="shared" si="5"/>
        <v>21.371546869976861</v>
      </c>
      <c r="I114">
        <v>18.15667703164565</v>
      </c>
    </row>
    <row r="115" spans="1:9" x14ac:dyDescent="0.25">
      <c r="A115" s="30">
        <v>46108.670833275464</v>
      </c>
      <c r="B115">
        <v>6.7490435802511684</v>
      </c>
      <c r="C115">
        <v>142.9</v>
      </c>
      <c r="D115">
        <f t="shared" si="3"/>
        <v>11.933049513709111</v>
      </c>
      <c r="E115">
        <v>-26.652669133783718</v>
      </c>
      <c r="G115">
        <f t="shared" si="4"/>
        <v>126.0125</v>
      </c>
      <c r="H115">
        <f t="shared" si="5"/>
        <v>19.564807799324196</v>
      </c>
      <c r="I115">
        <v>16.87279161099989</v>
      </c>
    </row>
    <row r="116" spans="1:9" x14ac:dyDescent="0.25">
      <c r="A116" s="30">
        <v>46108.712499942128</v>
      </c>
      <c r="B116">
        <v>8.9584352155150473</v>
      </c>
      <c r="C116">
        <v>126.8</v>
      </c>
      <c r="D116">
        <f t="shared" si="3"/>
        <v>19.10007482777425</v>
      </c>
      <c r="E116">
        <v>15.676145986461881</v>
      </c>
      <c r="G116">
        <f t="shared" si="4"/>
        <v>126.51249999999999</v>
      </c>
      <c r="H116">
        <f t="shared" si="5"/>
        <v>19.268118841295106</v>
      </c>
      <c r="I116">
        <v>15.79183208292072</v>
      </c>
    </row>
    <row r="117" spans="1:9" x14ac:dyDescent="0.25">
      <c r="A117" s="30">
        <v>46108.754166608793</v>
      </c>
      <c r="B117">
        <v>8.6079944790073082</v>
      </c>
      <c r="C117">
        <v>121</v>
      </c>
      <c r="D117">
        <f t="shared" si="3"/>
        <v>22.889154567116044</v>
      </c>
      <c r="E117">
        <v>18.40896828115909</v>
      </c>
      <c r="G117">
        <f t="shared" si="4"/>
        <v>125.12499999999999</v>
      </c>
      <c r="H117">
        <f t="shared" si="5"/>
        <v>20.105767784201785</v>
      </c>
      <c r="I117">
        <v>16.50377228872004</v>
      </c>
    </row>
    <row r="118" spans="1:9" x14ac:dyDescent="0.25">
      <c r="A118" s="30">
        <v>46108.796527777777</v>
      </c>
      <c r="B118">
        <v>7.8437326595732575</v>
      </c>
      <c r="C118">
        <v>115.9</v>
      </c>
      <c r="D118">
        <f t="shared" si="3"/>
        <v>27.090993472861431</v>
      </c>
      <c r="E118">
        <v>21.608007579514201</v>
      </c>
      <c r="G118">
        <f t="shared" si="4"/>
        <v>123.69999999999999</v>
      </c>
      <c r="H118">
        <f t="shared" si="5"/>
        <v>21.014896442376553</v>
      </c>
      <c r="I118">
        <v>17.447712576291448</v>
      </c>
    </row>
    <row r="119" spans="1:9" x14ac:dyDescent="0.25">
      <c r="A119" s="30">
        <v>46108.838194444441</v>
      </c>
      <c r="B119">
        <v>7.2294615002335316</v>
      </c>
      <c r="C119">
        <v>115.8</v>
      </c>
      <c r="D119">
        <f t="shared" si="3"/>
        <v>27.183671206748162</v>
      </c>
      <c r="E119">
        <v>22.00001487408138</v>
      </c>
      <c r="G119">
        <f t="shared" si="4"/>
        <v>121.36249999999998</v>
      </c>
      <c r="H119">
        <f t="shared" si="5"/>
        <v>22.625056843869572</v>
      </c>
      <c r="I119">
        <v>18.84933094184332</v>
      </c>
    </row>
    <row r="120" spans="1:9" x14ac:dyDescent="0.25">
      <c r="A120" s="30">
        <v>46108.879861053239</v>
      </c>
      <c r="B120">
        <v>7.1519997500980752</v>
      </c>
      <c r="C120">
        <v>109.8</v>
      </c>
      <c r="D120">
        <f t="shared" si="3"/>
        <v>33.696076708018872</v>
      </c>
      <c r="E120">
        <v>26.34659473805565</v>
      </c>
      <c r="G120">
        <f t="shared" si="4"/>
        <v>120.31249999999999</v>
      </c>
      <c r="H120">
        <f t="shared" si="5"/>
        <v>23.401424801891679</v>
      </c>
      <c r="I120">
        <v>19.430783386793379</v>
      </c>
    </row>
    <row r="121" spans="1:9" x14ac:dyDescent="0.25">
      <c r="A121" s="30">
        <v>46108.921527719911</v>
      </c>
      <c r="B121">
        <v>7.0508562491228703</v>
      </c>
      <c r="C121">
        <v>115.6</v>
      </c>
      <c r="D121">
        <f t="shared" si="3"/>
        <v>27.370368534124189</v>
      </c>
      <c r="E121">
        <v>22.224832263801812</v>
      </c>
      <c r="G121">
        <f t="shared" si="4"/>
        <v>119.57499999999999</v>
      </c>
      <c r="H121">
        <f t="shared" si="5"/>
        <v>23.968193708953322</v>
      </c>
      <c r="I121">
        <v>19.876598346641412</v>
      </c>
    </row>
    <row r="122" spans="1:9" x14ac:dyDescent="0.25">
      <c r="A122" s="30">
        <v>46108.963194386575</v>
      </c>
      <c r="B122">
        <v>6.8870239827328499</v>
      </c>
      <c r="C122">
        <v>111.8</v>
      </c>
      <c r="D122">
        <f t="shared" si="3"/>
        <v>31.29458382622078</v>
      </c>
      <c r="E122">
        <v>24.953456348647229</v>
      </c>
      <c r="G122">
        <f t="shared" si="4"/>
        <v>119.94999999999999</v>
      </c>
      <c r="H122">
        <f t="shared" si="5"/>
        <v>23.677724669505899</v>
      </c>
      <c r="I122">
        <v>19.752976751326209</v>
      </c>
    </row>
    <row r="123" spans="1:9" x14ac:dyDescent="0.25">
      <c r="A123" s="30">
        <v>46109.004861053239</v>
      </c>
      <c r="B123">
        <v>6.8839755284047914</v>
      </c>
      <c r="C123">
        <v>126.1</v>
      </c>
      <c r="D123">
        <f t="shared" si="3"/>
        <v>19.512474885870208</v>
      </c>
      <c r="E123">
        <v>16.77899945629165</v>
      </c>
      <c r="G123">
        <f t="shared" si="4"/>
        <v>117.85000000000001</v>
      </c>
      <c r="H123">
        <f t="shared" si="5"/>
        <v>25.368574956120217</v>
      </c>
      <c r="I123">
        <v>20.937378718468441</v>
      </c>
    </row>
    <row r="124" spans="1:9" x14ac:dyDescent="0.25">
      <c r="A124" s="30">
        <v>46109.045833217591</v>
      </c>
      <c r="B124">
        <v>6.6204504587211455</v>
      </c>
      <c r="C124">
        <v>119.8</v>
      </c>
      <c r="D124">
        <f t="shared" si="3"/>
        <v>23.793339493374916</v>
      </c>
      <c r="E124">
        <v>19.965952313323701</v>
      </c>
      <c r="G124">
        <f t="shared" si="4"/>
        <v>116.97499999999999</v>
      </c>
      <c r="H124">
        <f t="shared" si="5"/>
        <v>26.122049561157283</v>
      </c>
      <c r="I124">
        <v>21.600836776626451</v>
      </c>
    </row>
    <row r="125" spans="1:9" x14ac:dyDescent="0.25">
      <c r="A125" s="30">
        <v>46109.087499884263</v>
      </c>
      <c r="B125">
        <v>6.5007773251359708</v>
      </c>
      <c r="C125">
        <v>133.6</v>
      </c>
      <c r="D125">
        <f t="shared" si="3"/>
        <v>15.599392371912014</v>
      </c>
      <c r="E125">
        <v>14.053194318758239</v>
      </c>
      <c r="G125">
        <f t="shared" si="4"/>
        <v>118.55</v>
      </c>
      <c r="H125">
        <f t="shared" si="5"/>
        <v>24.787182484223909</v>
      </c>
      <c r="I125">
        <v>20.729101240500071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Sem ajuste calibração</vt:lpstr>
      <vt:lpstr>Ajuste Calibração</vt:lpstr>
      <vt:lpstr>Com ajuste calibração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Riscado</dc:creator>
  <cp:lastModifiedBy>Duarte Riscado</cp:lastModifiedBy>
  <dcterms:created xsi:type="dcterms:W3CDTF">2026-03-27T18:16:35Z</dcterms:created>
  <dcterms:modified xsi:type="dcterms:W3CDTF">2026-03-31T20:32:43Z</dcterms:modified>
</cp:coreProperties>
</file>