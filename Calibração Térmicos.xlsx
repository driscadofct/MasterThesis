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73C4CD5-DD74-4814-9611-514052536787}" xr6:coauthVersionLast="47" xr6:coauthVersionMax="47" xr10:uidLastSave="{00000000-0000-0000-0000-000000000000}"/>
  <bookViews>
    <workbookView xWindow="-109" yWindow="-109" windowWidth="34995" windowHeight="19060" activeTab="6" xr2:uid="{05BEA4D1-7F20-4B98-B210-D464C58A7B9D}"/>
  </bookViews>
  <sheets>
    <sheet name="Constantes e Funções Auxiliares" sheetId="5" r:id="rId1"/>
    <sheet name="Medições Diretas" sheetId="1" r:id="rId2"/>
    <sheet name="Ponderação Vertical" sheetId="2" r:id="rId3"/>
    <sheet name="Ponderação Horizontal " sheetId="6" r:id="rId4"/>
    <sheet name="Fatores de Correção" sheetId="4" r:id="rId5"/>
    <sheet name="Método N0" sheetId="7" r:id="rId6"/>
    <sheet name="Método UT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6" l="1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Q10" i="6"/>
  <c r="Q13" i="6"/>
  <c r="Q16" i="6"/>
  <c r="Q19" i="6"/>
  <c r="Q22" i="6"/>
  <c r="Q25" i="6"/>
  <c r="Q28" i="6"/>
  <c r="Q31" i="6"/>
  <c r="Q34" i="6"/>
  <c r="Q37" i="6"/>
  <c r="Q40" i="6"/>
  <c r="Q43" i="6"/>
  <c r="Q46" i="6"/>
  <c r="Q7" i="6"/>
  <c r="P10" i="6"/>
  <c r="P13" i="6"/>
  <c r="P16" i="6"/>
  <c r="P19" i="6"/>
  <c r="P22" i="6"/>
  <c r="P25" i="6"/>
  <c r="P28" i="6"/>
  <c r="P31" i="6"/>
  <c r="P34" i="6"/>
  <c r="P37" i="6"/>
  <c r="P40" i="6"/>
  <c r="P43" i="6"/>
  <c r="P46" i="6"/>
  <c r="P7" i="6"/>
  <c r="O7" i="6"/>
  <c r="O10" i="6"/>
  <c r="O13" i="6"/>
  <c r="O16" i="6"/>
  <c r="O19" i="6"/>
  <c r="O22" i="6"/>
  <c r="O25" i="6"/>
  <c r="O28" i="6"/>
  <c r="O31" i="6"/>
  <c r="O34" i="6"/>
  <c r="O37" i="6"/>
  <c r="O40" i="6"/>
  <c r="O43" i="6"/>
  <c r="O46" i="6"/>
  <c r="N10" i="6"/>
  <c r="N13" i="6"/>
  <c r="N16" i="6"/>
  <c r="N19" i="6"/>
  <c r="N22" i="6"/>
  <c r="N25" i="6"/>
  <c r="N28" i="6"/>
  <c r="N31" i="6"/>
  <c r="N34" i="6"/>
  <c r="N37" i="6"/>
  <c r="N40" i="6"/>
  <c r="N43" i="6"/>
  <c r="N46" i="6"/>
  <c r="N7" i="6"/>
  <c r="M10" i="6"/>
  <c r="M13" i="6"/>
  <c r="M16" i="6"/>
  <c r="M19" i="6"/>
  <c r="M22" i="6"/>
  <c r="M25" i="6"/>
  <c r="M28" i="6"/>
  <c r="M31" i="6"/>
  <c r="M34" i="6"/>
  <c r="M37" i="6"/>
  <c r="M40" i="6"/>
  <c r="M43" i="6"/>
  <c r="M46" i="6"/>
  <c r="M7" i="6"/>
  <c r="L10" i="6"/>
  <c r="L13" i="6"/>
  <c r="L16" i="6"/>
  <c r="L19" i="6"/>
  <c r="L22" i="6"/>
  <c r="L25" i="6"/>
  <c r="L28" i="6"/>
  <c r="L31" i="6"/>
  <c r="L34" i="6"/>
  <c r="L37" i="6"/>
  <c r="L40" i="6"/>
  <c r="L43" i="6"/>
  <c r="L46" i="6"/>
  <c r="L7" i="6"/>
  <c r="K40" i="6"/>
  <c r="K25" i="6"/>
  <c r="K7" i="6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7" i="2"/>
  <c r="AG5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7" i="2"/>
  <c r="G8" i="8"/>
  <c r="Q8" i="8" s="1"/>
  <c r="D8" i="8"/>
  <c r="J5" i="7"/>
  <c r="N5" i="7" s="1"/>
  <c r="Z9" i="4"/>
  <c r="M11" i="4"/>
  <c r="C10" i="4"/>
  <c r="C16" i="4" s="1"/>
  <c r="S11" i="4" s="1"/>
  <c r="E5" i="7"/>
  <c r="G16" i="4" l="1"/>
  <c r="E20" i="4" s="1"/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7" i="2"/>
  <c r="W43" i="6"/>
  <c r="T42" i="2" l="1"/>
  <c r="U13" i="1"/>
  <c r="W13" i="1" s="1"/>
  <c r="J21" i="5"/>
  <c r="E21" i="5"/>
  <c r="K21" i="5" s="1"/>
  <c r="G21" i="5"/>
  <c r="C21" i="5"/>
  <c r="I21" i="5"/>
  <c r="C10" i="5"/>
  <c r="F21" i="5"/>
  <c r="D21" i="5"/>
  <c r="G12" i="5"/>
  <c r="G8" i="5"/>
  <c r="G6" i="5"/>
  <c r="N7" i="1"/>
  <c r="N8" i="1"/>
  <c r="N9" i="1"/>
  <c r="N10" i="1"/>
  <c r="N11" i="1"/>
  <c r="N12" i="1"/>
  <c r="N13" i="1"/>
  <c r="P13" i="1" s="1"/>
  <c r="R13" i="1" s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6" i="1"/>
  <c r="P32" i="1" l="1"/>
  <c r="Q44" i="1"/>
  <c r="P6" i="1"/>
  <c r="Q27" i="1"/>
  <c r="Q8" i="1"/>
  <c r="P42" i="1"/>
  <c r="P26" i="1"/>
  <c r="P44" i="1"/>
  <c r="Q21" i="1"/>
  <c r="P40" i="1"/>
  <c r="Q40" i="1"/>
  <c r="P12" i="1"/>
  <c r="P41" i="1"/>
  <c r="P9" i="1"/>
  <c r="Q36" i="1"/>
  <c r="Q20" i="1"/>
  <c r="Q35" i="1"/>
  <c r="P39" i="1"/>
  <c r="O8" i="2"/>
  <c r="Q34" i="1"/>
  <c r="P38" i="1"/>
  <c r="Q33" i="1"/>
  <c r="Q17" i="1"/>
  <c r="P21" i="1"/>
  <c r="P15" i="1"/>
  <c r="Q29" i="1"/>
  <c r="P43" i="1"/>
  <c r="P27" i="1"/>
  <c r="P11" i="1"/>
  <c r="P7" i="1"/>
  <c r="Q22" i="1"/>
  <c r="P14" i="1"/>
  <c r="P24" i="1"/>
  <c r="Q19" i="1"/>
  <c r="P23" i="1"/>
  <c r="Q18" i="1"/>
  <c r="Q39" i="1"/>
  <c r="Q23" i="1"/>
  <c r="Q7" i="1"/>
  <c r="P37" i="1"/>
  <c r="P22" i="1"/>
  <c r="Q43" i="1"/>
  <c r="Q11" i="1"/>
  <c r="P47" i="1"/>
  <c r="P31" i="1"/>
  <c r="Q6" i="1"/>
  <c r="Q32" i="1"/>
  <c r="Q16" i="1"/>
  <c r="Q42" i="1"/>
  <c r="Q26" i="1"/>
  <c r="Q10" i="1"/>
  <c r="P20" i="1"/>
  <c r="P46" i="1"/>
  <c r="P30" i="1"/>
  <c r="Q47" i="1"/>
  <c r="Q31" i="1"/>
  <c r="Q15" i="1"/>
  <c r="Q41" i="1"/>
  <c r="Q25" i="1"/>
  <c r="Q9" i="1"/>
  <c r="P35" i="1"/>
  <c r="P19" i="1"/>
  <c r="P45" i="1"/>
  <c r="P29" i="1"/>
  <c r="Q46" i="1"/>
  <c r="Q30" i="1"/>
  <c r="P28" i="1"/>
  <c r="P8" i="1"/>
  <c r="P17" i="1"/>
  <c r="Q38" i="1"/>
  <c r="P16" i="1"/>
  <c r="Q13" i="1"/>
  <c r="P10" i="1"/>
  <c r="P36" i="1"/>
  <c r="Q14" i="1"/>
  <c r="Q12" i="1"/>
  <c r="Q37" i="1"/>
  <c r="P34" i="1"/>
  <c r="P33" i="1"/>
  <c r="Q28" i="1"/>
  <c r="P25" i="1"/>
  <c r="Q24" i="1"/>
  <c r="P18" i="1"/>
  <c r="Q45" i="1"/>
  <c r="V45" i="1" s="1"/>
  <c r="X45" i="1" s="1"/>
  <c r="S32" i="1" l="1"/>
  <c r="V32" i="1"/>
  <c r="X32" i="1" s="1"/>
  <c r="S6" i="1"/>
  <c r="T6" i="1" s="1"/>
  <c r="V6" i="1"/>
  <c r="X6" i="1" s="1"/>
  <c r="S9" i="1"/>
  <c r="T9" i="1" s="1"/>
  <c r="V9" i="1"/>
  <c r="X9" i="1" s="1"/>
  <c r="S37" i="1"/>
  <c r="V37" i="1"/>
  <c r="X37" i="1" s="1"/>
  <c r="S12" i="1"/>
  <c r="T12" i="1" s="1"/>
  <c r="V12" i="1"/>
  <c r="X12" i="1" s="1"/>
  <c r="R7" i="1"/>
  <c r="U7" i="1"/>
  <c r="W7" i="1" s="1"/>
  <c r="S14" i="1"/>
  <c r="V14" i="1"/>
  <c r="X14" i="1" s="1"/>
  <c r="R21" i="1"/>
  <c r="T21" i="1" s="1"/>
  <c r="U21" i="1"/>
  <c r="W21" i="1" s="1"/>
  <c r="Y21" i="1" s="1"/>
  <c r="R26" i="1"/>
  <c r="U26" i="1"/>
  <c r="W26" i="1" s="1"/>
  <c r="S31" i="1"/>
  <c r="V31" i="1"/>
  <c r="X31" i="1" s="1"/>
  <c r="S17" i="1"/>
  <c r="V17" i="1"/>
  <c r="X17" i="1" s="1"/>
  <c r="R42" i="1"/>
  <c r="U42" i="1"/>
  <c r="W42" i="1" s="1"/>
  <c r="S33" i="1"/>
  <c r="V33" i="1"/>
  <c r="X33" i="1" s="1"/>
  <c r="O27" i="2"/>
  <c r="O47" i="2"/>
  <c r="R34" i="1"/>
  <c r="T34" i="1" s="1"/>
  <c r="U34" i="1"/>
  <c r="W34" i="1" s="1"/>
  <c r="Y34" i="1" s="1"/>
  <c r="S22" i="1"/>
  <c r="V22" i="1"/>
  <c r="X22" i="1" s="1"/>
  <c r="R31" i="1"/>
  <c r="U31" i="1"/>
  <c r="W31" i="1" s="1"/>
  <c r="Y31" i="1" s="1"/>
  <c r="R47" i="1"/>
  <c r="U47" i="1"/>
  <c r="W47" i="1" s="1"/>
  <c r="S11" i="1"/>
  <c r="V11" i="1"/>
  <c r="X11" i="1" s="1"/>
  <c r="R15" i="1"/>
  <c r="T15" i="1" s="1"/>
  <c r="U15" i="1"/>
  <c r="W15" i="1" s="1"/>
  <c r="R22" i="1"/>
  <c r="T22" i="1" s="1"/>
  <c r="U22" i="1"/>
  <c r="W22" i="1" s="1"/>
  <c r="S7" i="1"/>
  <c r="T7" i="1" s="1"/>
  <c r="V7" i="1"/>
  <c r="X7" i="1" s="1"/>
  <c r="S38" i="1"/>
  <c r="V38" i="1"/>
  <c r="X38" i="1" s="1"/>
  <c r="S23" i="1"/>
  <c r="V23" i="1"/>
  <c r="X23" i="1" s="1"/>
  <c r="S27" i="1"/>
  <c r="V27" i="1"/>
  <c r="X27" i="1" s="1"/>
  <c r="R35" i="1"/>
  <c r="U35" i="1"/>
  <c r="W35" i="1" s="1"/>
  <c r="R36" i="1"/>
  <c r="T36" i="1" s="1"/>
  <c r="U36" i="1"/>
  <c r="W36" i="1" s="1"/>
  <c r="Y36" i="1" s="1"/>
  <c r="S15" i="1"/>
  <c r="V15" i="1"/>
  <c r="X15" i="1" s="1"/>
  <c r="S13" i="1"/>
  <c r="T13" i="1" s="1"/>
  <c r="V13" i="1"/>
  <c r="X13" i="1" s="1"/>
  <c r="Y13" i="1" s="1"/>
  <c r="R45" i="1"/>
  <c r="U45" i="1"/>
  <c r="W45" i="1" s="1"/>
  <c r="Y45" i="1" s="1"/>
  <c r="R19" i="1"/>
  <c r="T19" i="1" s="1"/>
  <c r="U19" i="1"/>
  <c r="W19" i="1" s="1"/>
  <c r="Y19" i="1" s="1"/>
  <c r="S44" i="1"/>
  <c r="V44" i="1"/>
  <c r="X44" i="1" s="1"/>
  <c r="S41" i="1"/>
  <c r="V41" i="1"/>
  <c r="X41" i="1" s="1"/>
  <c r="R37" i="1"/>
  <c r="U37" i="1"/>
  <c r="W37" i="1" s="1"/>
  <c r="R39" i="1"/>
  <c r="U39" i="1"/>
  <c r="W39" i="1" s="1"/>
  <c r="R18" i="1"/>
  <c r="U18" i="1"/>
  <c r="W18" i="1" s="1"/>
  <c r="Y18" i="1" s="1"/>
  <c r="R16" i="1"/>
  <c r="T16" i="1" s="1"/>
  <c r="U16" i="1"/>
  <c r="W16" i="1" s="1"/>
  <c r="Y16" i="1" s="1"/>
  <c r="S47" i="1"/>
  <c r="T47" i="1" s="1"/>
  <c r="V47" i="1"/>
  <c r="X47" i="1" s="1"/>
  <c r="S35" i="1"/>
  <c r="V35" i="1"/>
  <c r="X35" i="1" s="1"/>
  <c r="R46" i="1"/>
  <c r="T46" i="1" s="1"/>
  <c r="U46" i="1"/>
  <c r="W46" i="1" s="1"/>
  <c r="Y46" i="1" s="1"/>
  <c r="S36" i="1"/>
  <c r="V36" i="1"/>
  <c r="X36" i="1" s="1"/>
  <c r="R25" i="1"/>
  <c r="U25" i="1"/>
  <c r="W25" i="1" s="1"/>
  <c r="R8" i="1"/>
  <c r="U8" i="1"/>
  <c r="W8" i="1" s="1"/>
  <c r="S18" i="1"/>
  <c r="T18" i="1" s="1"/>
  <c r="V18" i="1"/>
  <c r="X18" i="1" s="1"/>
  <c r="R38" i="1"/>
  <c r="U38" i="1"/>
  <c r="W38" i="1" s="1"/>
  <c r="S8" i="1"/>
  <c r="V8" i="1"/>
  <c r="X8" i="1" s="1"/>
  <c r="S10" i="1"/>
  <c r="T10" i="1" s="1"/>
  <c r="V10" i="1"/>
  <c r="X10" i="1" s="1"/>
  <c r="O34" i="2"/>
  <c r="R41" i="1"/>
  <c r="U41" i="1"/>
  <c r="W41" i="1" s="1"/>
  <c r="S21" i="1"/>
  <c r="V21" i="1"/>
  <c r="X21" i="1" s="1"/>
  <c r="S28" i="1"/>
  <c r="V28" i="1"/>
  <c r="X28" i="1" s="1"/>
  <c r="S26" i="1"/>
  <c r="V26" i="1"/>
  <c r="X26" i="1" s="1"/>
  <c r="S19" i="1"/>
  <c r="V19" i="1"/>
  <c r="X19" i="1" s="1"/>
  <c r="R11" i="1"/>
  <c r="T11" i="1" s="1"/>
  <c r="U11" i="1"/>
  <c r="W11" i="1" s="1"/>
  <c r="Y11" i="1" s="1"/>
  <c r="S29" i="1"/>
  <c r="V29" i="1"/>
  <c r="X29" i="1" s="1"/>
  <c r="S25" i="1"/>
  <c r="T25" i="1" s="1"/>
  <c r="V25" i="1"/>
  <c r="X25" i="1" s="1"/>
  <c r="S43" i="1"/>
  <c r="V43" i="1"/>
  <c r="X43" i="1" s="1"/>
  <c r="R10" i="1"/>
  <c r="U10" i="1"/>
  <c r="W10" i="1" s="1"/>
  <c r="R40" i="1"/>
  <c r="U40" i="1"/>
  <c r="W40" i="1" s="1"/>
  <c r="Y40" i="1" s="1"/>
  <c r="R30" i="1"/>
  <c r="U30" i="1"/>
  <c r="W30" i="1" s="1"/>
  <c r="S20" i="1"/>
  <c r="V20" i="1"/>
  <c r="X20" i="1" s="1"/>
  <c r="S24" i="1"/>
  <c r="V24" i="1"/>
  <c r="X24" i="1" s="1"/>
  <c r="R17" i="1"/>
  <c r="T17" i="1" s="1"/>
  <c r="U17" i="1"/>
  <c r="W17" i="1" s="1"/>
  <c r="Y17" i="1" s="1"/>
  <c r="S39" i="1"/>
  <c r="T39" i="1" s="1"/>
  <c r="V39" i="1"/>
  <c r="X39" i="1" s="1"/>
  <c r="O30" i="2"/>
  <c r="R20" i="1"/>
  <c r="U20" i="1"/>
  <c r="W20" i="1" s="1"/>
  <c r="O18" i="2"/>
  <c r="R9" i="1"/>
  <c r="U9" i="1"/>
  <c r="W9" i="1" s="1"/>
  <c r="R32" i="1"/>
  <c r="T32" i="1" s="1"/>
  <c r="U32" i="1"/>
  <c r="W32" i="1" s="1"/>
  <c r="Y32" i="1" s="1"/>
  <c r="R28" i="1"/>
  <c r="U28" i="1"/>
  <c r="W28" i="1" s="1"/>
  <c r="Y28" i="1" s="1"/>
  <c r="R23" i="1"/>
  <c r="U23" i="1"/>
  <c r="W23" i="1" s="1"/>
  <c r="S34" i="1"/>
  <c r="V34" i="1"/>
  <c r="X34" i="1" s="1"/>
  <c r="S30" i="1"/>
  <c r="V30" i="1"/>
  <c r="X30" i="1" s="1"/>
  <c r="O20" i="2"/>
  <c r="R12" i="1"/>
  <c r="U12" i="1"/>
  <c r="W12" i="1" s="1"/>
  <c r="R44" i="1"/>
  <c r="U44" i="1"/>
  <c r="W44" i="1" s="1"/>
  <c r="R6" i="1"/>
  <c r="U6" i="1"/>
  <c r="W6" i="1" s="1"/>
  <c r="Y6" i="1" s="1"/>
  <c r="S46" i="1"/>
  <c r="V46" i="1"/>
  <c r="X46" i="1" s="1"/>
  <c r="S42" i="1"/>
  <c r="T42" i="1" s="1"/>
  <c r="V42" i="1"/>
  <c r="X42" i="1" s="1"/>
  <c r="R24" i="1"/>
  <c r="U24" i="1"/>
  <c r="W24" i="1" s="1"/>
  <c r="R27" i="1"/>
  <c r="T27" i="1" s="1"/>
  <c r="U27" i="1"/>
  <c r="W27" i="1" s="1"/>
  <c r="Y27" i="1" s="1"/>
  <c r="O22" i="2"/>
  <c r="S40" i="1"/>
  <c r="V40" i="1"/>
  <c r="X40" i="1" s="1"/>
  <c r="R33" i="1"/>
  <c r="U33" i="1"/>
  <c r="W33" i="1" s="1"/>
  <c r="R29" i="1"/>
  <c r="U29" i="1"/>
  <c r="W29" i="1" s="1"/>
  <c r="S16" i="1"/>
  <c r="V16" i="1"/>
  <c r="X16" i="1" s="1"/>
  <c r="R14" i="1"/>
  <c r="T14" i="1" s="1"/>
  <c r="U14" i="1"/>
  <c r="W14" i="1" s="1"/>
  <c r="R43" i="1"/>
  <c r="T43" i="1" s="1"/>
  <c r="U43" i="1"/>
  <c r="W43" i="1" s="1"/>
  <c r="Y43" i="1" s="1"/>
  <c r="O26" i="2"/>
  <c r="O42" i="2"/>
  <c r="O11" i="2"/>
  <c r="O44" i="2"/>
  <c r="O14" i="2"/>
  <c r="O15" i="2"/>
  <c r="O32" i="2"/>
  <c r="O39" i="2"/>
  <c r="O48" i="2"/>
  <c r="O24" i="2"/>
  <c r="O17" i="2"/>
  <c r="O33" i="2"/>
  <c r="O21" i="2"/>
  <c r="O9" i="2"/>
  <c r="O36" i="2"/>
  <c r="O12" i="2"/>
  <c r="O29" i="2"/>
  <c r="O35" i="2"/>
  <c r="O45" i="2"/>
  <c r="O41" i="2"/>
  <c r="O23" i="2"/>
  <c r="O38" i="2"/>
  <c r="T33" i="1"/>
  <c r="T37" i="1"/>
  <c r="S45" i="1"/>
  <c r="T24" i="1"/>
  <c r="J11" i="6"/>
  <c r="J23" i="6"/>
  <c r="J21" i="6"/>
  <c r="J39" i="6"/>
  <c r="J12" i="6"/>
  <c r="J16" i="6"/>
  <c r="J30" i="6"/>
  <c r="R30" i="6" s="1"/>
  <c r="J25" i="6"/>
  <c r="J26" i="6"/>
  <c r="J27" i="6"/>
  <c r="J33" i="6"/>
  <c r="J34" i="6"/>
  <c r="R34" i="6" s="1"/>
  <c r="J13" i="6"/>
  <c r="J9" i="6"/>
  <c r="J18" i="6"/>
  <c r="J17" i="6"/>
  <c r="R17" i="6" s="1"/>
  <c r="J31" i="6"/>
  <c r="J22" i="6"/>
  <c r="J24" i="6"/>
  <c r="J20" i="6"/>
  <c r="R20" i="6" s="1"/>
  <c r="J29" i="6"/>
  <c r="R29" i="6" s="1"/>
  <c r="J10" i="6"/>
  <c r="J7" i="6"/>
  <c r="R7" i="6" s="1"/>
  <c r="J36" i="6"/>
  <c r="R36" i="6" s="1"/>
  <c r="J15" i="6"/>
  <c r="R15" i="6" s="1"/>
  <c r="J32" i="6"/>
  <c r="J8" i="6"/>
  <c r="J35" i="6"/>
  <c r="R35" i="6" s="1"/>
  <c r="J14" i="6"/>
  <c r="J19" i="6"/>
  <c r="J28" i="6"/>
  <c r="J40" i="6"/>
  <c r="R40" i="6" s="1"/>
  <c r="J47" i="6"/>
  <c r="J46" i="6"/>
  <c r="J45" i="6"/>
  <c r="J44" i="6"/>
  <c r="R44" i="6" s="1"/>
  <c r="J43" i="6"/>
  <c r="R43" i="6" s="1"/>
  <c r="J42" i="6"/>
  <c r="J48" i="6"/>
  <c r="J41" i="6"/>
  <c r="R41" i="6" s="1"/>
  <c r="J37" i="6"/>
  <c r="J38" i="6"/>
  <c r="R8" i="6" l="1"/>
  <c r="S8" i="6" s="1"/>
  <c r="R38" i="6"/>
  <c r="R25" i="6"/>
  <c r="R48" i="6"/>
  <c r="R10" i="6"/>
  <c r="R39" i="6"/>
  <c r="R33" i="6"/>
  <c r="R32" i="6"/>
  <c r="R26" i="6"/>
  <c r="R16" i="6"/>
  <c r="R24" i="6"/>
  <c r="R46" i="6"/>
  <c r="R19" i="6"/>
  <c r="R27" i="6"/>
  <c r="R37" i="6"/>
  <c r="R12" i="6"/>
  <c r="R45" i="6"/>
  <c r="R22" i="6"/>
  <c r="R31" i="6"/>
  <c r="R11" i="6"/>
  <c r="R28" i="6"/>
  <c r="R9" i="6"/>
  <c r="S9" i="6" s="1"/>
  <c r="R14" i="6"/>
  <c r="R13" i="6"/>
  <c r="R42" i="6"/>
  <c r="R21" i="6"/>
  <c r="R23" i="6"/>
  <c r="R47" i="6"/>
  <c r="R18" i="6"/>
  <c r="P34" i="2"/>
  <c r="Y24" i="1"/>
  <c r="Y7" i="1"/>
  <c r="Y23" i="1"/>
  <c r="Y22" i="1"/>
  <c r="Y39" i="1"/>
  <c r="Y29" i="1"/>
  <c r="Y9" i="1"/>
  <c r="T8" i="1"/>
  <c r="T29" i="1"/>
  <c r="Y44" i="1"/>
  <c r="T40" i="1"/>
  <c r="T28" i="1"/>
  <c r="Y25" i="1"/>
  <c r="Y37" i="1"/>
  <c r="Y35" i="1"/>
  <c r="Y47" i="1"/>
  <c r="Y14" i="1"/>
  <c r="T38" i="1"/>
  <c r="T45" i="1"/>
  <c r="Y42" i="1"/>
  <c r="Y30" i="1"/>
  <c r="T30" i="1"/>
  <c r="Y33" i="1"/>
  <c r="T44" i="1"/>
  <c r="Y10" i="1"/>
  <c r="T35" i="1"/>
  <c r="Y12" i="1"/>
  <c r="Y20" i="1"/>
  <c r="Y26" i="1"/>
  <c r="T23" i="1"/>
  <c r="Y38" i="1"/>
  <c r="Y15" i="1"/>
  <c r="Y8" i="1"/>
  <c r="Z5" i="1" s="1"/>
  <c r="S7" i="6"/>
  <c r="T20" i="1"/>
  <c r="Y41" i="1"/>
  <c r="T41" i="1"/>
  <c r="T31" i="1"/>
  <c r="T26" i="1"/>
  <c r="Q28" i="2"/>
  <c r="O28" i="2"/>
  <c r="P28" i="2" s="1"/>
  <c r="O10" i="2"/>
  <c r="P10" i="2" s="1"/>
  <c r="Q10" i="2"/>
  <c r="O43" i="2"/>
  <c r="P43" i="2" s="1"/>
  <c r="Q43" i="2"/>
  <c r="Q25" i="2"/>
  <c r="O25" i="2"/>
  <c r="P25" i="2" s="1"/>
  <c r="O7" i="2"/>
  <c r="P7" i="2" s="1"/>
  <c r="Q7" i="2"/>
  <c r="Q13" i="2"/>
  <c r="O13" i="2"/>
  <c r="P13" i="2" s="1"/>
  <c r="R13" i="2" s="1"/>
  <c r="O37" i="2"/>
  <c r="P37" i="2" s="1"/>
  <c r="Q37" i="2"/>
  <c r="O31" i="2"/>
  <c r="P31" i="2" s="1"/>
  <c r="Q31" i="2"/>
  <c r="Q40" i="2"/>
  <c r="O40" i="2"/>
  <c r="P40" i="2" s="1"/>
  <c r="Q16" i="2"/>
  <c r="O16" i="2"/>
  <c r="P16" i="2" s="1"/>
  <c r="P22" i="2"/>
  <c r="O46" i="2"/>
  <c r="P46" i="2" s="1"/>
  <c r="Q46" i="2"/>
  <c r="Q22" i="2"/>
  <c r="Q19" i="2"/>
  <c r="O19" i="2"/>
  <c r="P19" i="2" s="1"/>
  <c r="Q34" i="2"/>
  <c r="R25" i="2" l="1"/>
  <c r="R34" i="2"/>
  <c r="R10" i="2"/>
  <c r="R16" i="2"/>
  <c r="T7" i="6"/>
  <c r="R19" i="2"/>
  <c r="U7" i="6"/>
  <c r="R37" i="2"/>
  <c r="R43" i="2"/>
  <c r="R31" i="2"/>
  <c r="R7" i="2"/>
  <c r="R46" i="2"/>
  <c r="R22" i="2"/>
  <c r="R40" i="2"/>
  <c r="R28" i="2"/>
  <c r="V7" i="6" l="1"/>
</calcChain>
</file>

<file path=xl/sharedStrings.xml><?xml version="1.0" encoding="utf-8"?>
<sst xmlns="http://schemas.openxmlformats.org/spreadsheetml/2006/main" count="391" uniqueCount="181">
  <si>
    <t>Perfil</t>
  </si>
  <si>
    <t>Raio / m</t>
  </si>
  <si>
    <t>Profundidade / cm</t>
  </si>
  <si>
    <t>1.1.1</t>
  </si>
  <si>
    <t>1.1.2</t>
  </si>
  <si>
    <t>1.1.3</t>
  </si>
  <si>
    <t>1.2.1</t>
  </si>
  <si>
    <t>1.2.2</t>
  </si>
  <si>
    <t>1.2.3</t>
  </si>
  <si>
    <t>1.3.1</t>
  </si>
  <si>
    <t>1.3.2</t>
  </si>
  <si>
    <t>1.3.3</t>
  </si>
  <si>
    <t>1.4.1</t>
  </si>
  <si>
    <t>1.4.2</t>
  </si>
  <si>
    <t>1.4.3</t>
  </si>
  <si>
    <t>1.5.1</t>
  </si>
  <si>
    <t>1.5.2</t>
  </si>
  <si>
    <t>1.5.3</t>
  </si>
  <si>
    <t>1.6.1</t>
  </si>
  <si>
    <t>1.6.2</t>
  </si>
  <si>
    <t>1.6.3</t>
  </si>
  <si>
    <t>2.1.1</t>
  </si>
  <si>
    <t>2.1.2</t>
  </si>
  <si>
    <t>2.1.3</t>
  </si>
  <si>
    <t>2.2.1</t>
  </si>
  <si>
    <t>2.2.2</t>
  </si>
  <si>
    <t>2.2.3</t>
  </si>
  <si>
    <t>2.3.1</t>
  </si>
  <si>
    <t>2.3.2</t>
  </si>
  <si>
    <t>2.3.3</t>
  </si>
  <si>
    <t>2.4.1</t>
  </si>
  <si>
    <t>2.4.2</t>
  </si>
  <si>
    <t>2.4.3</t>
  </si>
  <si>
    <t>2.5.1</t>
  </si>
  <si>
    <t>2.5.2</t>
  </si>
  <si>
    <t>2.5.3</t>
  </si>
  <si>
    <t>3.1.1</t>
  </si>
  <si>
    <t>3.2.2</t>
  </si>
  <si>
    <t>3.2.3</t>
  </si>
  <si>
    <t>3.1.2</t>
  </si>
  <si>
    <t>3.1.3</t>
  </si>
  <si>
    <t>3.2.1</t>
  </si>
  <si>
    <t>3.3.1</t>
  </si>
  <si>
    <t>3.3.2</t>
  </si>
  <si>
    <t>Massa recipiente / g</t>
  </si>
  <si>
    <t>Massa recipiente + solo húmido /g</t>
  </si>
  <si>
    <t>Massa recipiente + solo seco / g</t>
  </si>
  <si>
    <t>Massa solo húmido / g</t>
  </si>
  <si>
    <t>Massa solo seco / g</t>
  </si>
  <si>
    <t>Ensaio 1</t>
  </si>
  <si>
    <t>Ensaio 2</t>
  </si>
  <si>
    <t>Teor em água / %</t>
  </si>
  <si>
    <t>Teor em água médio / %</t>
  </si>
  <si>
    <t>Massa de água / g</t>
  </si>
  <si>
    <t>Cápsulas</t>
  </si>
  <si>
    <t>A</t>
  </si>
  <si>
    <t>B</t>
  </si>
  <si>
    <t>D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</si>
  <si>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</si>
  <si>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</si>
  <si>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</si>
  <si>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</si>
  <si>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</si>
  <si>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</si>
  <si>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</si>
  <si>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</si>
  <si>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</si>
  <si>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</si>
  <si>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</si>
  <si>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</si>
  <si>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</si>
  <si>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</si>
  <si>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</si>
  <si>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</si>
  <si>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</si>
  <si>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T</t>
  </si>
  <si>
    <t>V</t>
  </si>
  <si>
    <t>W</t>
  </si>
  <si>
    <t>X</t>
  </si>
  <si>
    <t>Y</t>
  </si>
  <si>
    <t>Z</t>
  </si>
  <si>
    <t>Amostra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</si>
  <si>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</si>
  <si>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</si>
  <si>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</si>
  <si>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</si>
  <si>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</si>
  <si>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</si>
  <si>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</si>
  <si>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</si>
  <si>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</si>
  <si>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Fp</t>
  </si>
  <si>
    <t>Fveg</t>
  </si>
  <si>
    <t>D86</t>
  </si>
  <si>
    <t>p0</t>
  </si>
  <si>
    <t>p1</t>
  </si>
  <si>
    <t>p2</t>
  </si>
  <si>
    <t>p3</t>
  </si>
  <si>
    <t>p4</t>
  </si>
  <si>
    <t>p5</t>
  </si>
  <si>
    <t>p6</t>
  </si>
  <si>
    <t>3.7</t>
  </si>
  <si>
    <t>Hveg / m</t>
  </si>
  <si>
    <t>p / hPa</t>
  </si>
  <si>
    <t>T / ºC</t>
  </si>
  <si>
    <t>H / %</t>
  </si>
  <si>
    <r>
      <t>Hveg/ kgm</t>
    </r>
    <r>
      <rPr>
        <vertAlign val="superscript"/>
        <sz val="11"/>
        <color theme="1"/>
        <rFont val="Aptos Narrow"/>
        <family val="2"/>
        <scheme val="minor"/>
      </rPr>
      <t>-2</t>
    </r>
  </si>
  <si>
    <r>
      <t>H / gm</t>
    </r>
    <r>
      <rPr>
        <vertAlign val="superscript"/>
        <sz val="11"/>
        <color theme="1"/>
        <rFont val="Aptos Narrow"/>
        <family val="2"/>
        <scheme val="minor"/>
      </rPr>
      <t>-3</t>
    </r>
  </si>
  <si>
    <t>p / mbar</t>
  </si>
  <si>
    <t>r*</t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</si>
  <si>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Symbol"/>
        <family val="1"/>
        <charset val="2"/>
      </rPr>
      <t>á</t>
    </r>
    <r>
      <rPr>
        <vertAlign val="subscript"/>
        <sz val="11"/>
        <color theme="1"/>
        <rFont val="Aptos Narrow"/>
        <family val="2"/>
      </rPr>
      <t>gua</t>
    </r>
    <r>
      <rPr>
        <sz val="11"/>
        <color theme="1"/>
        <rFont val="Aptos Narrow"/>
        <family val="2"/>
      </rPr>
      <t xml:space="preserve"> / g cm</t>
    </r>
    <r>
      <rPr>
        <vertAlign val="superscript"/>
        <sz val="11"/>
        <color theme="1"/>
        <rFont val="Aptos Narrow"/>
        <family val="2"/>
      </rPr>
      <t>-3</t>
    </r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</si>
  <si>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Aptos Narrow"/>
        <family val="2"/>
      </rPr>
      <t>bulk</t>
    </r>
    <r>
      <rPr>
        <sz val="11"/>
        <color theme="1"/>
        <rFont val="Aptos Narrow"/>
        <family val="2"/>
      </rPr>
      <t xml:space="preserve"> / g cm</t>
    </r>
    <r>
      <rPr>
        <vertAlign val="superscript"/>
        <sz val="11"/>
        <color theme="1"/>
        <rFont val="Aptos Narrow"/>
        <family val="2"/>
      </rPr>
      <t>-3</t>
    </r>
  </si>
  <si>
    <t>Média</t>
  </si>
  <si>
    <r>
      <t>ϑ</t>
    </r>
    <r>
      <rPr>
        <vertAlign val="subscript"/>
        <sz val="11"/>
        <color theme="1"/>
        <rFont val="Aptos Narrow"/>
        <family val="2"/>
      </rPr>
      <t>V</t>
    </r>
    <r>
      <rPr>
        <b/>
        <sz val="11"/>
        <color theme="1"/>
        <rFont val="Aptos Narrow"/>
        <family val="2"/>
        <scheme val="minor"/>
      </rPr>
      <t xml:space="preserve"> / %</t>
    </r>
  </si>
  <si>
    <r>
      <t>ϑ</t>
    </r>
    <r>
      <rPr>
        <vertAlign val="subscript"/>
        <sz val="11"/>
        <color theme="1"/>
        <rFont val="Aptos Narrow"/>
        <family val="2"/>
      </rPr>
      <t>m</t>
    </r>
    <r>
      <rPr>
        <b/>
        <sz val="11"/>
        <color theme="1"/>
        <rFont val="Aptos Narrow"/>
        <family val="2"/>
        <scheme val="minor"/>
      </rPr>
      <t xml:space="preserve"> / %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</si>
  <si>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 xml:space="preserve">d </t>
    </r>
    <r>
      <rPr>
        <b/>
        <sz val="11"/>
        <color theme="1"/>
        <rFont val="Aptos Narrow"/>
        <family val="2"/>
        <scheme val="minor"/>
      </rPr>
      <t xml:space="preserve">(r, </t>
    </r>
    <r>
      <rPr>
        <b/>
        <sz val="11"/>
        <color theme="1"/>
        <rFont val="Aptos Narrow"/>
        <family val="2"/>
      </rPr>
      <t>ϑ)</t>
    </r>
  </si>
  <si>
    <t>Método 1</t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</si>
  <si>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 xml:space="preserve">r </t>
    </r>
    <r>
      <rPr>
        <b/>
        <sz val="11"/>
        <color theme="1"/>
        <rFont val="Aptos Narrow"/>
        <family val="2"/>
        <scheme val="minor"/>
      </rPr>
      <t xml:space="preserve">(h, </t>
    </r>
    <r>
      <rPr>
        <b/>
        <sz val="11"/>
        <color theme="1"/>
        <rFont val="Aptos Narrow"/>
        <family val="2"/>
      </rPr>
      <t>ϑ)</t>
    </r>
  </si>
  <si>
    <r>
      <t>ϑ</t>
    </r>
    <r>
      <rPr>
        <vertAlign val="subscript"/>
        <sz val="11"/>
        <color theme="1"/>
        <rFont val="Aptos Narrow"/>
        <family val="2"/>
      </rPr>
      <t>V</t>
    </r>
  </si>
  <si>
    <t>Hveg/ kgm-2</t>
  </si>
  <si>
    <t>&lt;θ&gt;</t>
  </si>
  <si>
    <t>ϑV * Wd (r, ϑ)</t>
  </si>
  <si>
    <r>
      <rPr>
        <b/>
        <sz val="11"/>
        <color theme="1"/>
        <rFont val="Calibri"/>
        <family val="2"/>
      </rPr>
      <t>∑</t>
    </r>
    <r>
      <rPr>
        <b/>
        <sz val="9.35"/>
        <color theme="1"/>
        <rFont val="Aptos Narrow"/>
        <family val="2"/>
      </rPr>
      <t xml:space="preserve"> (</t>
    </r>
    <r>
      <rPr>
        <b/>
        <sz val="11"/>
        <color theme="1"/>
        <rFont val="Aptos Narrow"/>
        <family val="2"/>
        <scheme val="minor"/>
      </rPr>
      <t>ϑV * Wd (r, ϑ))</t>
    </r>
  </si>
  <si>
    <t>∑ (Wd (r, ϑ))</t>
  </si>
  <si>
    <t>θp</t>
  </si>
  <si>
    <t>∑ (Wr (r, ϑ))</t>
  </si>
  <si>
    <r>
      <rPr>
        <b/>
        <sz val="11"/>
        <color theme="1"/>
        <rFont val="Calibri"/>
        <family val="2"/>
      </rPr>
      <t>∑</t>
    </r>
    <r>
      <rPr>
        <b/>
        <sz val="9.35"/>
        <color theme="1"/>
        <rFont val="Aptos Narrow"/>
        <family val="2"/>
      </rPr>
      <t xml:space="preserve"> (</t>
    </r>
    <r>
      <rPr>
        <b/>
        <sz val="11"/>
        <color theme="1"/>
        <rFont val="Aptos Narrow"/>
        <family val="2"/>
        <scheme val="minor"/>
      </rPr>
      <t>ϑp * Wr (r, ϑ))</t>
    </r>
  </si>
  <si>
    <t>ϑp * Wr (r, ϑ)</t>
  </si>
  <si>
    <r>
      <t>ϑ</t>
    </r>
    <r>
      <rPr>
        <vertAlign val="subscript"/>
        <sz val="11"/>
        <color theme="1"/>
        <rFont val="Aptos Narrow"/>
        <family val="2"/>
      </rPr>
      <t>V</t>
    </r>
    <r>
      <rPr>
        <b/>
        <sz val="11"/>
        <color theme="1"/>
        <rFont val="Aptos Narrow"/>
        <family val="2"/>
        <scheme val="minor"/>
      </rPr>
      <t xml:space="preserve"> </t>
    </r>
  </si>
  <si>
    <t>Contagens 23:30</t>
  </si>
  <si>
    <t>Contagens 22:30</t>
  </si>
  <si>
    <t>Dados retirados no dia 28/01/2026, desde as 11:29 às 12:29</t>
  </si>
  <si>
    <t>Correção humidade do ar</t>
  </si>
  <si>
    <t>Correção intensidade dos neutrões</t>
  </si>
  <si>
    <t>Correção pressão barométrica</t>
  </si>
  <si>
    <t>Correção da biomassa</t>
  </si>
  <si>
    <t>Rc / GV</t>
  </si>
  <si>
    <r>
      <t>X / g/cm</t>
    </r>
    <r>
      <rPr>
        <vertAlign val="superscript"/>
        <sz val="11"/>
        <color theme="1"/>
        <rFont val="Aptos Narrow"/>
        <family val="2"/>
        <scheme val="minor"/>
      </rPr>
      <t>2</t>
    </r>
  </si>
  <si>
    <t>K  (Jungfraujoch)</t>
  </si>
  <si>
    <t>c0</t>
  </si>
  <si>
    <t>c1</t>
  </si>
  <si>
    <t>c2</t>
  </si>
  <si>
    <t>c3</t>
  </si>
  <si>
    <t>c4</t>
  </si>
  <si>
    <t>c5</t>
  </si>
  <si>
    <t>ε</t>
  </si>
  <si>
    <t>τ</t>
  </si>
  <si>
    <t>Monitor de neutrões: Jungfraujoch</t>
  </si>
  <si>
    <t>I / cont/s</t>
  </si>
  <si>
    <t>CI</t>
  </si>
  <si>
    <r>
      <t>C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</si>
  <si>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 xml:space="preserve">ref </t>
    </r>
    <r>
      <rPr>
        <sz val="11"/>
        <color theme="1"/>
        <rFont val="Aptos Narrow"/>
        <family val="2"/>
        <scheme val="minor"/>
      </rPr>
      <t>/ cont/s</t>
    </r>
  </si>
  <si>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Aptos Narrow"/>
        <family val="2"/>
      </rPr>
      <t>hum</t>
    </r>
    <r>
      <rPr>
        <sz val="11"/>
        <color theme="1"/>
        <rFont val="Aptos Narrow"/>
        <family val="2"/>
      </rPr>
      <t xml:space="preserve"> / m</t>
    </r>
    <r>
      <rPr>
        <vertAlign val="superscript"/>
        <sz val="11"/>
        <color theme="1"/>
        <rFont val="Aptos Narrow"/>
        <family val="2"/>
      </rPr>
      <t>3</t>
    </r>
    <r>
      <rPr>
        <sz val="11"/>
        <color theme="1"/>
        <rFont val="Aptos Narrow"/>
        <family val="2"/>
      </rPr>
      <t>/g</t>
    </r>
  </si>
  <si>
    <r>
      <t>λ</t>
    </r>
    <r>
      <rPr>
        <vertAlign val="subscript"/>
        <sz val="11"/>
        <color theme="1"/>
        <rFont val="Calibri"/>
        <family val="2"/>
      </rPr>
      <t xml:space="preserve">atm </t>
    </r>
    <r>
      <rPr>
        <sz val="11"/>
        <color theme="1"/>
        <rFont val="Calibri"/>
        <family val="2"/>
      </rPr>
      <t>g/m</t>
    </r>
    <r>
      <rPr>
        <vertAlign val="superscript"/>
        <sz val="11"/>
        <color theme="1"/>
        <rFont val="Calibri"/>
        <family val="2"/>
      </rPr>
      <t>3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</si>
  <si>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 xml:space="preserve">ref </t>
    </r>
    <r>
      <rPr>
        <sz val="11"/>
        <color theme="1"/>
        <rFont val="Aptos Narrow"/>
        <family val="2"/>
        <scheme val="minor"/>
      </rPr>
      <t>/ g/cm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</si>
  <si>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</si>
  <si>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abs</t>
    </r>
    <r>
      <rPr>
        <sz val="11"/>
        <color theme="1"/>
        <rFont val="Aptos Narrow"/>
        <family val="2"/>
        <scheme val="minor"/>
      </rPr>
      <t xml:space="preserve"> / gm</t>
    </r>
    <r>
      <rPr>
        <vertAlign val="superscript"/>
        <sz val="11"/>
        <color theme="1"/>
        <rFont val="Aptos Narrow"/>
        <family val="2"/>
        <scheme val="minor"/>
      </rPr>
      <t>-3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</si>
  <si>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abs</t>
    </r>
    <r>
      <rPr>
        <vertAlign val="superscript"/>
        <sz val="11"/>
        <color theme="1"/>
        <rFont val="Aptos Narrow"/>
        <family val="2"/>
        <scheme val="minor"/>
      </rPr>
      <t xml:space="preserve">ref </t>
    </r>
    <r>
      <rPr>
        <sz val="11"/>
        <color theme="1"/>
        <rFont val="Aptos Narrow"/>
        <family val="2"/>
        <scheme val="minor"/>
      </rPr>
      <t>/ g/m</t>
    </r>
    <r>
      <rPr>
        <vertAlign val="superscript"/>
        <sz val="11"/>
        <color theme="1"/>
        <rFont val="Aptos Narrow"/>
        <family val="2"/>
        <scheme val="minor"/>
      </rPr>
      <t>3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</si>
  <si>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h</t>
    </r>
  </si>
  <si>
    <r>
      <t>AGB / kgm</t>
    </r>
    <r>
      <rPr>
        <vertAlign val="superscript"/>
        <sz val="11"/>
        <color theme="1"/>
        <rFont val="Aptos Narrow"/>
        <family val="2"/>
        <scheme val="minor"/>
      </rPr>
      <t>-2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</si>
  <si>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veg</t>
    </r>
  </si>
  <si>
    <t>Ch</t>
  </si>
  <si>
    <t>Cp</t>
  </si>
  <si>
    <t>Cveg</t>
  </si>
  <si>
    <t>a0</t>
  </si>
  <si>
    <t>a1</t>
  </si>
  <si>
    <t>a2</t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</si>
  <si>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corr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</si>
  <si>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0</t>
    </r>
  </si>
  <si>
    <t>Ncorr</t>
  </si>
  <si>
    <t>p7</t>
  </si>
  <si>
    <r>
      <t>ρ</t>
    </r>
    <r>
      <rPr>
        <vertAlign val="subscript"/>
        <sz val="11"/>
        <color theme="1"/>
        <rFont val="Aptos Narrow"/>
        <family val="2"/>
      </rPr>
      <t>sim</t>
    </r>
    <r>
      <rPr>
        <vertAlign val="superscript"/>
        <sz val="11"/>
        <color theme="1"/>
        <rFont val="Aptos Narrow"/>
        <family val="2"/>
      </rPr>
      <t>bd</t>
    </r>
    <r>
      <rPr>
        <sz val="11"/>
        <color theme="1"/>
        <rFont val="Aptos Narrow"/>
        <family val="2"/>
      </rPr>
      <t xml:space="preserve"> / gcm</t>
    </r>
    <r>
      <rPr>
        <vertAlign val="superscript"/>
        <sz val="11"/>
        <color theme="1"/>
        <rFont val="Aptos Narrow"/>
        <family val="2"/>
      </rPr>
      <t>-3</t>
    </r>
  </si>
  <si>
    <t>ϑ</t>
  </si>
  <si>
    <r>
      <t>ϑ</t>
    </r>
    <r>
      <rPr>
        <vertAlign val="superscript"/>
        <sz val="11"/>
        <color theme="1"/>
        <rFont val="Aptos Narrow"/>
        <family val="2"/>
      </rPr>
      <t>loc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</si>
  <si>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D</t>
    </r>
  </si>
  <si>
    <t>F9</t>
  </si>
  <si>
    <t>F10</t>
  </si>
  <si>
    <t>F11</t>
  </si>
  <si>
    <t>F12</t>
  </si>
  <si>
    <t>r* novo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</si>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</sst>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Symbol"/>
      <family val="1"/>
      <charset val="2"/>
    </font>
    <font>
      <b/>
      <sz val="11"/>
      <color theme="1"/>
      <name val="Aptos Narrow"/>
      <family val="2"/>
    </font>
    <font>
      <b/>
      <sz val="11"/>
      <color theme="1"/>
      <name val="Aptos Narrow"/>
      <scheme val="minor"/>
    </font>
    <font>
      <b/>
      <sz val="11"/>
      <color theme="1"/>
      <name val="Calibri"/>
      <family val="2"/>
    </font>
    <font>
      <b/>
      <sz val="9.35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16" xfId="0" applyFont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26" xfId="0" applyFont="1" applyBorder="1"/>
    <xf numFmtId="0" fontId="1" fillId="0" borderId="27" xfId="0" applyFont="1" applyBorder="1"/>
    <xf numFmtId="0" fontId="0" fillId="0" borderId="31" xfId="0" applyBorder="1"/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right"/>
    </xf>
    <xf numFmtId="0" fontId="5" fillId="0" borderId="0" xfId="0" applyFont="1"/>
    <xf numFmtId="2" fontId="0" fillId="0" borderId="3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1" fontId="0" fillId="0" borderId="32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1" fontId="0" fillId="0" borderId="1" xfId="0" applyNumberFormat="1" applyBorder="1"/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" xfId="0" applyNumberFormat="1" applyBorder="1"/>
    <xf numFmtId="0" fontId="0" fillId="0" borderId="6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46" xfId="0" applyBorder="1"/>
    <xf numFmtId="0" fontId="0" fillId="0" borderId="48" xfId="0" applyBorder="1"/>
    <xf numFmtId="0" fontId="0" fillId="0" borderId="49" xfId="0" applyBorder="1"/>
    <xf numFmtId="0" fontId="0" fillId="0" borderId="47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38" xfId="0" applyBorder="1"/>
    <xf numFmtId="0" fontId="0" fillId="0" borderId="2" xfId="0" applyBorder="1"/>
    <xf numFmtId="0" fontId="0" fillId="0" borderId="36" xfId="0" applyBorder="1"/>
    <xf numFmtId="0" fontId="0" fillId="0" borderId="3" xfId="0" applyBorder="1"/>
    <xf numFmtId="0" fontId="0" fillId="0" borderId="6" xfId="0" applyBorder="1"/>
    <xf numFmtId="0" fontId="0" fillId="0" borderId="37" xfId="0" applyBorder="1"/>
    <xf numFmtId="0" fontId="0" fillId="0" borderId="7" xfId="0" applyBorder="1"/>
    <xf numFmtId="0" fontId="16" fillId="0" borderId="2" xfId="0" applyFont="1" applyBorder="1"/>
    <xf numFmtId="0" fontId="0" fillId="0" borderId="23" xfId="0" applyBorder="1"/>
    <xf numFmtId="0" fontId="0" fillId="0" borderId="32" xfId="0" applyBorder="1"/>
    <xf numFmtId="0" fontId="0" fillId="0" borderId="11" xfId="0" applyBorder="1"/>
    <xf numFmtId="0" fontId="3" fillId="0" borderId="2" xfId="0" applyFont="1" applyBorder="1"/>
    <xf numFmtId="0" fontId="0" fillId="0" borderId="3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65" fontId="0" fillId="0" borderId="37" xfId="0" quotePrefix="1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7" xfId="0" applyNumberForma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1" fontId="0" fillId="0" borderId="22" xfId="0" applyNumberFormat="1" applyBorder="1" applyAlignment="1">
      <alignment horizontal="center"/>
    </xf>
    <xf numFmtId="11" fontId="0" fillId="0" borderId="45" xfId="0" applyNumberFormat="1" applyBorder="1" applyAlignment="1">
      <alignment horizontal="center"/>
    </xf>
    <xf numFmtId="11" fontId="0" fillId="0" borderId="23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8" xfId="0" applyFill="1" applyBorder="1" applyAlignment="1">
      <alignment horizontal="center" vertical="center"/>
    </xf>
    <xf numFmtId="0" fontId="0" fillId="0" borderId="28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2" fontId="0" fillId="0" borderId="0" xfId="0" applyNumberFormat="1"/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7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313526</xdr:colOff>
      <xdr:row>1</xdr:row>
      <xdr:rowOff>86263</xdr:rowOff>
    </xdr:from>
    <xdr:to>
      <xdr:col>24</xdr:col>
      <xdr:colOff>592149</xdr:colOff>
      <xdr:row>19</xdr:row>
      <xdr:rowOff>36841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547345-71F5-458B-BAA9-BA17122B3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7851" y="267418"/>
          <a:ext cx="7110744" cy="3096883"/>
        </a:xfrm>
        <a:prstGeom prst="rect">
          <a:avLst/>
        </a:prstGeom>
      </xdr:spPr>
    </xdr:pic>
    <xdr:clientData/>
  </xdr:twoCellAnchor>
  <xdr:twoCellAnchor editAs="oneCell">
    <xdr:from>
      <xdr:col>14</xdr:col>
      <xdr:colOff>28017</xdr:colOff>
      <xdr:row>18</xdr:row>
      <xdr:rowOff>153084</xdr:rowOff>
    </xdr:from>
    <xdr:to>
      <xdr:col>19</xdr:col>
      <xdr:colOff>335900</xdr:colOff>
      <xdr:row>24</xdr:row>
      <xdr:rowOff>108205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CD714C-5D21-4691-8CF0-B1C468E3D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3443" y="3413869"/>
          <a:ext cx="3413393" cy="1078352"/>
        </a:xfrm>
        <a:prstGeom prst="rect">
          <a:avLst/>
        </a:prstGeom>
      </xdr:spPr>
    </xdr:pic>
    <xdr:clientData/>
  </xdr:twoCellAnchor>
  <xdr:twoCellAnchor editAs="oneCell">
    <xdr:from>
      <xdr:col>14</xdr:col>
      <xdr:colOff>60384</xdr:colOff>
      <xdr:row>24</xdr:row>
      <xdr:rowOff>164138</xdr:rowOff>
    </xdr:from>
    <xdr:to>
      <xdr:col>21</xdr:col>
      <xdr:colOff>448574</xdr:colOff>
      <xdr:row>45</xdr:row>
      <xdr:rowOff>30925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AE2C7EE-0B20-48EA-B256-F6EE5C954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55810" y="4511851"/>
          <a:ext cx="4735903" cy="3671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213123</xdr:colOff>
      <xdr:row>17</xdr:row>
      <xdr:rowOff>60892</xdr:rowOff>
    </xdr:from>
    <xdr:to>
      <xdr:col>34</xdr:col>
      <xdr:colOff>16946</xdr:colOff>
      <xdr:row>20</xdr:row>
      <xdr:rowOff>155086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6762CD5-D3B7-49A3-9479-3A2B2DBFB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6092"/>
        <a:stretch>
          <a:fillRect/>
        </a:stretch>
      </xdr:blipFill>
      <xdr:spPr>
        <a:xfrm>
          <a:off x="13335423" y="3328781"/>
          <a:ext cx="9089905" cy="672671"/>
        </a:xfrm>
        <a:prstGeom prst="rect">
          <a:avLst/>
        </a:prstGeom>
      </xdr:spPr>
    </xdr:pic>
    <xdr:clientData/>
  </xdr:twoCellAnchor>
  <xdr:twoCellAnchor editAs="oneCell">
    <xdr:from>
      <xdr:col>20</xdr:col>
      <xdr:colOff>578476</xdr:colOff>
      <xdr:row>10</xdr:row>
      <xdr:rowOff>10150</xdr:rowOff>
    </xdr:from>
    <xdr:to>
      <xdr:col>30</xdr:col>
      <xdr:colOff>294078</xdr:colOff>
      <xdr:row>16</xdr:row>
      <xdr:rowOff>91617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13EBBA6-C0ED-7860-AD96-3E04E25FD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19848" y="1928258"/>
          <a:ext cx="5906324" cy="1238423"/>
        </a:xfrm>
        <a:prstGeom prst="rect">
          <a:avLst/>
        </a:prstGeom>
      </xdr:spPr>
    </xdr:pic>
    <xdr:clientData/>
  </xdr:twoCellAnchor>
  <xdr:twoCellAnchor editAs="oneCell">
    <xdr:from>
      <xdr:col>23</xdr:col>
      <xdr:colOff>101487</xdr:colOff>
      <xdr:row>21</xdr:row>
      <xdr:rowOff>143378</xdr:rowOff>
    </xdr:from>
    <xdr:to>
      <xdr:col>33</xdr:col>
      <xdr:colOff>95699</xdr:colOff>
      <xdr:row>38</xdr:row>
      <xdr:rowOff>125999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B03C76D-F020-65CA-7606-FD958B33B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38220" y="4182570"/>
          <a:ext cx="6184933" cy="3260658"/>
        </a:xfrm>
        <a:prstGeom prst="rect">
          <a:avLst/>
        </a:prstGeom>
      </xdr:spPr>
    </xdr:pic>
    <xdr:clientData/>
  </xdr:twoCellAnchor>
  <xdr:twoCellAnchor editAs="oneCell">
    <xdr:from>
      <xdr:col>21</xdr:col>
      <xdr:colOff>426247</xdr:colOff>
      <xdr:row>3</xdr:row>
      <xdr:rowOff>40596</xdr:rowOff>
    </xdr:from>
    <xdr:to>
      <xdr:col>27</xdr:col>
      <xdr:colOff>408030</xdr:colOff>
      <xdr:row>10</xdr:row>
      <xdr:rowOff>51837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792075C-EED0-44A8-9456-0ED0BB560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86691" y="588627"/>
          <a:ext cx="3696216" cy="1381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258792</xdr:colOff>
      <xdr:row>5</xdr:row>
      <xdr:rowOff>30192</xdr:rowOff>
    </xdr:from>
    <xdr:ext cx="109838" cy="1795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1401F025-8D8E-A217-DCF3-704977506124}"/>
                </a:ext>
              </a:extLst>
            </xdr:cNvPr>
            <xdr:cNvSpPr txBox="1"/>
          </xdr:nvSpPr>
          <xdr:spPr>
            <a:xfrm>
              <a:off x="19305917" y="953218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PT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PT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1401F025-8D8E-A217-DCF3-704977506124}"/>
                </a:ext>
              </a:extLst>
            </xdr:cNvPr>
            <xdr:cNvSpPr txBox="1"/>
          </xdr:nvSpPr>
          <xdr:spPr>
            <a:xfrm>
              <a:off x="19305917" y="953218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PT" sz="1100" i="0">
                  <a:latin typeface="Cambria Math" panose="02040503050406030204" pitchFamily="18" charset="0"/>
                </a:rPr>
                <a:t>𝜃 ̅</a:t>
              </a:r>
              <a:endParaRPr lang="pt-PT" sz="1100"/>
            </a:p>
          </xdr:txBody>
        </xdr:sp>
      </mc:Fallback>
    </mc:AlternateContent>
    <xdr:clientData/>
  </xdr:oneCellAnchor>
  <xdr:twoCellAnchor editAs="oneCell">
    <xdr:from>
      <xdr:col>19</xdr:col>
      <xdr:colOff>1064891</xdr:colOff>
      <xdr:row>9</xdr:row>
      <xdr:rowOff>171802</xdr:rowOff>
    </xdr:from>
    <xdr:to>
      <xdr:col>29</xdr:col>
      <xdr:colOff>452168</xdr:colOff>
      <xdr:row>15</xdr:row>
      <xdr:rowOff>60468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FCB51A8-6F73-F7E4-B872-158F23F4F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14746" y="1897086"/>
          <a:ext cx="6329004" cy="1045620"/>
        </a:xfrm>
        <a:prstGeom prst="rect">
          <a:avLst/>
        </a:prstGeom>
      </xdr:spPr>
    </xdr:pic>
    <xdr:clientData/>
  </xdr:twoCellAnchor>
  <xdr:twoCellAnchor editAs="oneCell">
    <xdr:from>
      <xdr:col>19</xdr:col>
      <xdr:colOff>1014147</xdr:colOff>
      <xdr:row>16</xdr:row>
      <xdr:rowOff>70315</xdr:rowOff>
    </xdr:from>
    <xdr:to>
      <xdr:col>25</xdr:col>
      <xdr:colOff>244924</xdr:colOff>
      <xdr:row>23</xdr:row>
      <xdr:rowOff>101853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5043FE2-ADB9-412E-E5A2-B6CA5E429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64002" y="3094635"/>
          <a:ext cx="3696216" cy="1381318"/>
        </a:xfrm>
        <a:prstGeom prst="rect">
          <a:avLst/>
        </a:prstGeom>
      </xdr:spPr>
    </xdr:pic>
    <xdr:clientData/>
  </xdr:twoCellAnchor>
  <xdr:twoCellAnchor editAs="oneCell">
    <xdr:from>
      <xdr:col>6</xdr:col>
      <xdr:colOff>1258441</xdr:colOff>
      <xdr:row>0</xdr:row>
      <xdr:rowOff>71041</xdr:rowOff>
    </xdr:from>
    <xdr:to>
      <xdr:col>9</xdr:col>
      <xdr:colOff>548032</xdr:colOff>
      <xdr:row>4</xdr:row>
      <xdr:rowOff>65076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F6D690B-0B7B-3F9E-3889-A15C5EE64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23880" y="71041"/>
          <a:ext cx="2090638" cy="7348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103517</xdr:colOff>
      <xdr:row>2</xdr:row>
      <xdr:rowOff>60385</xdr:rowOff>
    </xdr:from>
    <xdr:to>
      <xdr:col>4</xdr:col>
      <xdr:colOff>158797</xdr:colOff>
      <xdr:row>5</xdr:row>
      <xdr:rowOff>164534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424324-9FEB-BE40-7B19-16D40D469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619" y="431321"/>
          <a:ext cx="2048161" cy="666843"/>
        </a:xfrm>
        <a:prstGeom prst="rect">
          <a:avLst/>
        </a:prstGeom>
      </xdr:spPr>
    </xdr:pic>
    <xdr:clientData/>
  </xdr:twoCellAnchor>
  <xdr:twoCellAnchor editAs="oneCell">
    <xdr:from>
      <xdr:col>1</xdr:col>
      <xdr:colOff>103517</xdr:colOff>
      <xdr:row>5</xdr:row>
      <xdr:rowOff>103516</xdr:rowOff>
    </xdr:from>
    <xdr:to>
      <xdr:col>9</xdr:col>
      <xdr:colOff>110030</xdr:colOff>
      <xdr:row>7</xdr:row>
      <xdr:rowOff>93693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82D6158-49B1-01D4-6DCD-244E6E161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619" y="1017916"/>
          <a:ext cx="5458587" cy="438211"/>
        </a:xfrm>
        <a:prstGeom prst="rect">
          <a:avLst/>
        </a:prstGeom>
      </xdr:spPr>
    </xdr:pic>
    <xdr:clientData/>
  </xdr:twoCellAnchor>
  <xdr:twoCellAnchor editAs="oneCell">
    <xdr:from>
      <xdr:col>17</xdr:col>
      <xdr:colOff>148446</xdr:colOff>
      <xdr:row>2</xdr:row>
      <xdr:rowOff>78537</xdr:rowOff>
    </xdr:from>
    <xdr:to>
      <xdr:col>20</xdr:col>
      <xdr:colOff>18943</xdr:colOff>
      <xdr:row>5</xdr:row>
      <xdr:rowOff>173160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DA7B2-2C4F-7D22-A69B-CB3BD2DA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07046" y="469062"/>
          <a:ext cx="1775497" cy="666123"/>
        </a:xfrm>
        <a:prstGeom prst="rect">
          <a:avLst/>
        </a:prstGeom>
      </xdr:spPr>
    </xdr:pic>
    <xdr:clientData/>
  </xdr:twoCellAnchor>
  <xdr:twoCellAnchor editAs="oneCell">
    <xdr:from>
      <xdr:col>11</xdr:col>
      <xdr:colOff>224286</xdr:colOff>
      <xdr:row>3</xdr:row>
      <xdr:rowOff>69012</xdr:rowOff>
    </xdr:from>
    <xdr:to>
      <xdr:col>14</xdr:col>
      <xdr:colOff>540548</xdr:colOff>
      <xdr:row>5</xdr:row>
      <xdr:rowOff>49654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0965B6-1168-5001-9946-7697CFF6B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7509" y="612476"/>
          <a:ext cx="2286319" cy="3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103517</xdr:colOff>
      <xdr:row>3</xdr:row>
      <xdr:rowOff>43133</xdr:rowOff>
    </xdr:from>
    <xdr:to>
      <xdr:col>25</xdr:col>
      <xdr:colOff>78810</xdr:colOff>
      <xdr:row>5</xdr:row>
      <xdr:rowOff>147617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8BFAA5D-2487-FD5F-1432-03EC30A9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31064" y="586597"/>
          <a:ext cx="1962424" cy="4858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1017916</xdr:colOff>
      <xdr:row>7</xdr:row>
      <xdr:rowOff>34505</xdr:rowOff>
    </xdr:from>
    <xdr:to>
      <xdr:col>10</xdr:col>
      <xdr:colOff>418215</xdr:colOff>
      <xdr:row>12</xdr:row>
      <xdr:rowOff>36965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930901-AB8B-C785-9D5C-3508AB8AC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0120" y="1380226"/>
          <a:ext cx="5249008" cy="908234"/>
        </a:xfrm>
        <a:prstGeom prst="rect">
          <a:avLst/>
        </a:prstGeom>
      </xdr:spPr>
    </xdr:pic>
    <xdr:clientData/>
  </xdr:twoCellAnchor>
  <xdr:oneCellAnchor>
    <xdr:from>
      <xdr:col>1</xdr:col>
      <xdr:colOff>258792</xdr:colOff>
      <xdr:row>3</xdr:row>
      <xdr:rowOff>8626</xdr:rowOff>
    </xdr:from>
    <xdr:ext cx="109838" cy="1795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71484410-6491-4286-8D40-7FC8285D11E6}"/>
                </a:ext>
              </a:extLst>
            </xdr:cNvPr>
            <xdr:cNvSpPr txBox="1"/>
          </xdr:nvSpPr>
          <xdr:spPr>
            <a:xfrm>
              <a:off x="879894" y="552090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PT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PT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71484410-6491-4286-8D40-7FC8285D11E6}"/>
                </a:ext>
              </a:extLst>
            </xdr:cNvPr>
            <xdr:cNvSpPr txBox="1"/>
          </xdr:nvSpPr>
          <xdr:spPr>
            <a:xfrm>
              <a:off x="879894" y="552090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PT" sz="1100" i="0">
                  <a:latin typeface="Cambria Math" panose="02040503050406030204" pitchFamily="18" charset="0"/>
                </a:rPr>
                <a:t>𝜃 ̅</a:t>
              </a:r>
              <a:endParaRPr lang="pt-PT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77637</xdr:colOff>
      <xdr:row>0</xdr:row>
      <xdr:rowOff>163902</xdr:rowOff>
    </xdr:from>
    <xdr:to>
      <xdr:col>9</xdr:col>
      <xdr:colOff>591770</xdr:colOff>
      <xdr:row>4</xdr:row>
      <xdr:rowOff>115652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509C3CF-F938-8469-E13A-274376ACB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739" y="163902"/>
          <a:ext cx="6173061" cy="676369"/>
        </a:xfrm>
        <a:prstGeom prst="rect">
          <a:avLst/>
        </a:prstGeom>
      </xdr:spPr>
    </xdr:pic>
    <xdr:clientData/>
  </xdr:twoCellAnchor>
  <xdr:twoCellAnchor editAs="oneCell">
    <xdr:from>
      <xdr:col>11</xdr:col>
      <xdr:colOff>396814</xdr:colOff>
      <xdr:row>0</xdr:row>
      <xdr:rowOff>94891</xdr:rowOff>
    </xdr:from>
    <xdr:to>
      <xdr:col>14</xdr:col>
      <xdr:colOff>343511</xdr:colOff>
      <xdr:row>2</xdr:row>
      <xdr:rowOff>85056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0AA844D-D0B5-09F3-C61D-5ECBD913B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9048" y="94891"/>
          <a:ext cx="1810003" cy="352474"/>
        </a:xfrm>
        <a:prstGeom prst="rect">
          <a:avLst/>
        </a:prstGeom>
      </xdr:spPr>
    </xdr:pic>
    <xdr:clientData/>
  </xdr:twoCellAnchor>
  <xdr:twoCellAnchor editAs="oneCell">
    <xdr:from>
      <xdr:col>11</xdr:col>
      <xdr:colOff>362309</xdr:colOff>
      <xdr:row>2</xdr:row>
      <xdr:rowOff>103517</xdr:rowOff>
    </xdr:from>
    <xdr:to>
      <xdr:col>14</xdr:col>
      <xdr:colOff>166111</xdr:colOff>
      <xdr:row>4</xdr:row>
      <xdr:rowOff>65102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4BF60B9-F8E7-C93A-1BE5-2720BC74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84543" y="465826"/>
          <a:ext cx="1667108" cy="323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3343-30BA-4D18-82FB-E728DCD2CA0C}">
  <dimension ref="B3:K21"/>
  <sheetViews>
    <sheetView workbookViewId="0">
      <selection activeCell="E20" sqref="E20:E21"/>
    </sheetView>
  </sheetViews>
  <sheetFormatPr defaultRowHeight="14.3" x14ac:dyDescent="0.25"/>
  <cols>
    <col min="3" max="3" width="11" bestFit="1" customWidth="1"/>
    <col min="7" max="7" width="10.875" bestFit="1" customWidth="1"/>
    <col min="8" max="8" width="13.125" bestFit="1" customWidth="1"/>
    <col min="9" max="10" width="11.875" bestFit="1" customWidth="1"/>
  </cols>
  <sheetData>
    <row r="3" spans="2:9" x14ac:dyDescent="0.25">
      <c r="B3" s="22"/>
      <c r="C3" s="23" t="s">
        <v>94</v>
      </c>
      <c r="D3" s="24" t="s">
        <v>95</v>
      </c>
      <c r="E3" s="24" t="s">
        <v>96</v>
      </c>
      <c r="F3" s="24" t="s">
        <v>97</v>
      </c>
      <c r="G3" s="24" t="s">
        <v>98</v>
      </c>
      <c r="H3" s="24" t="s">
        <v>99</v>
      </c>
      <c r="I3" s="24" t="s">
        <v>100</v>
      </c>
    </row>
    <row r="4" spans="2:9" x14ac:dyDescent="0.25">
      <c r="B4" s="25" t="s">
        <v>82</v>
      </c>
      <c r="C4" s="26" t="s">
        <v>101</v>
      </c>
      <c r="D4" s="26"/>
      <c r="E4" s="26"/>
      <c r="F4" s="26"/>
      <c r="G4" s="26"/>
      <c r="H4" s="26"/>
      <c r="I4" s="26"/>
    </row>
    <row r="5" spans="2:9" x14ac:dyDescent="0.25">
      <c r="B5" s="24" t="s">
        <v>83</v>
      </c>
      <c r="C5" s="26">
        <v>8735</v>
      </c>
      <c r="D5" s="26">
        <v>22.689</v>
      </c>
      <c r="E5" s="26">
        <v>11720</v>
      </c>
      <c r="F5" s="26">
        <v>9.7800000000000005E-3</v>
      </c>
      <c r="G5" s="26">
        <v>9306</v>
      </c>
      <c r="H5" s="26">
        <v>3.6319999999999998E-3</v>
      </c>
      <c r="I5" s="26"/>
    </row>
    <row r="6" spans="2:9" x14ac:dyDescent="0.25">
      <c r="B6" s="24" t="s">
        <v>84</v>
      </c>
      <c r="C6" s="26">
        <v>2.7924999999999998E-2</v>
      </c>
      <c r="D6" s="26">
        <v>6.6577000000000002</v>
      </c>
      <c r="E6" s="26">
        <v>2.8544E-2</v>
      </c>
      <c r="F6" s="26">
        <v>2.4550000000000002E-3</v>
      </c>
      <c r="G6" s="26">
        <f>6.851*10^-5</f>
        <v>6.8510000000000006E-5</v>
      </c>
      <c r="H6" s="26">
        <v>12.275499999999999</v>
      </c>
      <c r="I6" s="26"/>
    </row>
    <row r="7" spans="2:9" x14ac:dyDescent="0.25">
      <c r="B7" s="24" t="s">
        <v>85</v>
      </c>
      <c r="C7" s="26">
        <v>247970</v>
      </c>
      <c r="D7" s="26">
        <v>23.289000000000001</v>
      </c>
      <c r="E7" s="26">
        <v>374655</v>
      </c>
      <c r="F7" s="26">
        <v>1.91E-3</v>
      </c>
      <c r="G7" s="26">
        <v>258552</v>
      </c>
      <c r="H7" s="26"/>
      <c r="I7" s="26"/>
    </row>
    <row r="8" spans="2:9" x14ac:dyDescent="0.25">
      <c r="B8" s="24" t="s">
        <v>86</v>
      </c>
      <c r="C8" s="26">
        <v>5.4817999999999999E-2</v>
      </c>
      <c r="D8" s="26">
        <v>21.032</v>
      </c>
      <c r="E8" s="26">
        <v>0.63729999999999998</v>
      </c>
      <c r="F8" s="26">
        <v>7.9100000000000004E-2</v>
      </c>
      <c r="G8" s="26">
        <f>5.425*10^-4</f>
        <v>5.4250000000000001E-4</v>
      </c>
      <c r="H8" s="26"/>
      <c r="I8" s="26"/>
    </row>
    <row r="9" spans="2:9" x14ac:dyDescent="0.25">
      <c r="B9" s="24" t="s">
        <v>87</v>
      </c>
      <c r="C9" s="26">
        <v>39006</v>
      </c>
      <c r="D9" s="26">
        <v>15002330</v>
      </c>
      <c r="E9" s="26">
        <v>2009.24</v>
      </c>
      <c r="F9" s="26">
        <v>1.1809999999999999E-2</v>
      </c>
      <c r="G9" s="26">
        <v>3.1459999999999999</v>
      </c>
      <c r="H9" s="26">
        <v>16.741700000000002</v>
      </c>
      <c r="I9" s="26">
        <v>3727</v>
      </c>
    </row>
    <row r="10" spans="2:9" x14ac:dyDescent="0.25">
      <c r="B10" s="24" t="s">
        <v>88</v>
      </c>
      <c r="C10" s="26">
        <f>6.031*10^-5</f>
        <v>6.0310000000000004E-5</v>
      </c>
      <c r="D10" s="26">
        <v>95.5</v>
      </c>
      <c r="E10" s="26">
        <v>1.3826000000000001E-3</v>
      </c>
      <c r="F10" s="26"/>
      <c r="G10" s="26"/>
      <c r="H10" s="26"/>
      <c r="I10" s="26"/>
    </row>
    <row r="11" spans="2:9" x14ac:dyDescent="0.25">
      <c r="B11" s="24" t="s">
        <v>89</v>
      </c>
      <c r="C11" s="26">
        <v>11747</v>
      </c>
      <c r="D11" s="26">
        <v>55.033000000000001</v>
      </c>
      <c r="E11" s="26">
        <v>4521</v>
      </c>
      <c r="F11" s="26">
        <v>1.9980000000000001E-2</v>
      </c>
      <c r="G11" s="26">
        <v>6.0400000000000002E-3</v>
      </c>
      <c r="H11" s="26">
        <v>3347.4</v>
      </c>
      <c r="I11" s="26">
        <v>4.7499999999999999E-3</v>
      </c>
    </row>
    <row r="12" spans="2:9" x14ac:dyDescent="0.25">
      <c r="B12" s="24" t="s">
        <v>90</v>
      </c>
      <c r="C12" s="26">
        <v>1.5429999999999999E-2</v>
      </c>
      <c r="D12" s="26">
        <v>13.29</v>
      </c>
      <c r="E12" s="26">
        <v>1.8069999999999999E-2</v>
      </c>
      <c r="F12" s="26">
        <v>1.1000000000000001E-3</v>
      </c>
      <c r="G12" s="26">
        <f>8.81*10^-5</f>
        <v>8.8100000000000014E-5</v>
      </c>
      <c r="H12" s="26">
        <v>4.0500000000000001E-2</v>
      </c>
      <c r="I12" s="26">
        <v>26.74</v>
      </c>
    </row>
    <row r="13" spans="2:9" x14ac:dyDescent="0.25">
      <c r="B13" s="24" t="s">
        <v>91</v>
      </c>
      <c r="C13" s="26">
        <v>0.49220000000000003</v>
      </c>
      <c r="D13" s="26">
        <v>0.86</v>
      </c>
      <c r="E13" s="26"/>
      <c r="F13" s="26"/>
      <c r="G13" s="26"/>
      <c r="H13" s="26"/>
      <c r="I13" s="26"/>
    </row>
    <row r="14" spans="2:9" x14ac:dyDescent="0.25">
      <c r="B14" s="24" t="s">
        <v>92</v>
      </c>
      <c r="C14" s="26">
        <v>0.17</v>
      </c>
      <c r="D14" s="26">
        <v>0.41</v>
      </c>
      <c r="E14" s="26">
        <v>9.25</v>
      </c>
      <c r="F14" s="26"/>
      <c r="G14" s="26"/>
      <c r="H14" s="26"/>
      <c r="I14" s="26"/>
    </row>
    <row r="15" spans="2:9" x14ac:dyDescent="0.25">
      <c r="B15" s="24" t="s">
        <v>93</v>
      </c>
      <c r="C15" s="26">
        <v>8.3209999999999997</v>
      </c>
      <c r="D15" s="26">
        <v>0.14249000000000001</v>
      </c>
      <c r="E15" s="26">
        <v>0.96655000000000002</v>
      </c>
      <c r="F15" s="26">
        <v>0.01</v>
      </c>
      <c r="G15" s="26">
        <v>20</v>
      </c>
      <c r="H15" s="26">
        <v>4.2900000000000001E-2</v>
      </c>
      <c r="I15" s="26"/>
    </row>
    <row r="20" spans="2:11" ht="17.7" x14ac:dyDescent="0.35">
      <c r="B20" t="s">
        <v>102</v>
      </c>
      <c r="C20" t="s">
        <v>106</v>
      </c>
      <c r="D20" t="s">
        <v>103</v>
      </c>
      <c r="E20" t="s">
        <v>108</v>
      </c>
      <c r="F20" t="s">
        <v>104</v>
      </c>
      <c r="G20" t="s">
        <v>105</v>
      </c>
      <c r="H20" t="s">
        <v>107</v>
      </c>
      <c r="I20" s="27" t="s">
        <v>111</v>
      </c>
      <c r="J20" s="27" t="s">
        <v>110</v>
      </c>
      <c r="K20" t="s">
        <v>91</v>
      </c>
    </row>
    <row r="21" spans="2:11" x14ac:dyDescent="0.25">
      <c r="B21">
        <v>0.35</v>
      </c>
      <c r="C21">
        <f>B21*4.4</f>
        <v>1.54</v>
      </c>
      <c r="D21">
        <f>(995.6+994.9)/2</f>
        <v>995.25</v>
      </c>
      <c r="E21">
        <f>D21</f>
        <v>995.25</v>
      </c>
      <c r="F21">
        <f>(20.8+19.7)/2</f>
        <v>20.25</v>
      </c>
      <c r="G21">
        <f>(58.9+57.5)/2</f>
        <v>58.2</v>
      </c>
      <c r="H21">
        <v>10.210000000000001</v>
      </c>
      <c r="I21">
        <f>18/9.81</f>
        <v>1.8348623853211008</v>
      </c>
      <c r="J21">
        <f>1</f>
        <v>1</v>
      </c>
      <c r="K21">
        <f>C13/(D13-EXP(-E21/1013))</f>
        <v>1.0135545069638157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DF30-38B4-46AD-9C96-315AA5046237}">
  <dimension ref="A3:AB47"/>
  <sheetViews>
    <sheetView zoomScale="85" zoomScaleNormal="85" workbookViewId="0">
      <pane xSplit="1" topLeftCell="B1" activePane="topRight" state="frozen"/>
      <selection pane="topRight" activeCell="Z5" sqref="Z5"/>
    </sheetView>
  </sheetViews>
  <sheetFormatPr defaultRowHeight="14.3" x14ac:dyDescent="0.25"/>
  <cols>
    <col min="5" max="5" width="15.625" bestFit="1" customWidth="1"/>
    <col min="6" max="19" width="15.875" customWidth="1"/>
    <col min="20" max="20" width="22.375" customWidth="1"/>
  </cols>
  <sheetData>
    <row r="3" spans="1:28" ht="14.95" thickBot="1" x14ac:dyDescent="0.3"/>
    <row r="4" spans="1:28" ht="17.7" thickBot="1" x14ac:dyDescent="0.4">
      <c r="F4" s="96" t="s">
        <v>44</v>
      </c>
      <c r="G4" s="97"/>
      <c r="H4" s="96" t="s">
        <v>45</v>
      </c>
      <c r="I4" s="97"/>
      <c r="J4" s="96" t="s">
        <v>47</v>
      </c>
      <c r="K4" s="97"/>
      <c r="L4" s="96" t="s">
        <v>46</v>
      </c>
      <c r="M4" s="97"/>
      <c r="N4" s="96" t="s">
        <v>48</v>
      </c>
      <c r="O4" s="97"/>
      <c r="P4" s="96" t="s">
        <v>53</v>
      </c>
      <c r="Q4" s="97"/>
      <c r="R4" s="96" t="s">
        <v>51</v>
      </c>
      <c r="S4" s="97"/>
      <c r="T4" s="94" t="s">
        <v>52</v>
      </c>
      <c r="U4" s="96" t="s">
        <v>114</v>
      </c>
      <c r="V4" s="97"/>
      <c r="W4" s="98" t="s">
        <v>113</v>
      </c>
      <c r="X4" s="99"/>
      <c r="Y4" s="100"/>
      <c r="Z4" s="48" t="s">
        <v>120</v>
      </c>
      <c r="AA4" s="47"/>
      <c r="AB4" s="47"/>
    </row>
    <row r="5" spans="1:28" ht="14.95" thickBot="1" x14ac:dyDescent="0.3">
      <c r="A5" s="15" t="s">
        <v>81</v>
      </c>
      <c r="B5" s="15" t="s">
        <v>54</v>
      </c>
      <c r="C5" s="1" t="s">
        <v>1</v>
      </c>
      <c r="D5" s="5" t="s">
        <v>0</v>
      </c>
      <c r="E5" s="6" t="s">
        <v>2</v>
      </c>
      <c r="F5" s="13" t="s">
        <v>49</v>
      </c>
      <c r="G5" s="14" t="s">
        <v>50</v>
      </c>
      <c r="H5" s="13" t="s">
        <v>49</v>
      </c>
      <c r="I5" s="14" t="s">
        <v>50</v>
      </c>
      <c r="J5" s="13" t="s">
        <v>49</v>
      </c>
      <c r="K5" s="14" t="s">
        <v>50</v>
      </c>
      <c r="L5" s="13" t="s">
        <v>49</v>
      </c>
      <c r="M5" s="14" t="s">
        <v>50</v>
      </c>
      <c r="N5" s="13" t="s">
        <v>49</v>
      </c>
      <c r="O5" s="14" t="s">
        <v>50</v>
      </c>
      <c r="P5" s="13" t="s">
        <v>49</v>
      </c>
      <c r="Q5" s="14" t="s">
        <v>50</v>
      </c>
      <c r="R5" s="13" t="s">
        <v>49</v>
      </c>
      <c r="S5" s="14" t="s">
        <v>50</v>
      </c>
      <c r="T5" s="95"/>
      <c r="U5" s="13" t="s">
        <v>49</v>
      </c>
      <c r="V5" s="14" t="s">
        <v>50</v>
      </c>
      <c r="W5" s="13" t="s">
        <v>49</v>
      </c>
      <c r="X5" s="32" t="s">
        <v>50</v>
      </c>
      <c r="Y5" s="36" t="s">
        <v>112</v>
      </c>
      <c r="Z5" s="49">
        <f>AVERAGE(Y6:Y47)</f>
        <v>43.313558547623472</v>
      </c>
    </row>
    <row r="6" spans="1:28" ht="14.95" thickBot="1" x14ac:dyDescent="0.3">
      <c r="A6" s="16" t="s">
        <v>3</v>
      </c>
      <c r="B6" s="16" t="s">
        <v>55</v>
      </c>
      <c r="C6" s="101">
        <v>2</v>
      </c>
      <c r="D6" s="91">
        <v>1</v>
      </c>
      <c r="E6" s="2">
        <v>5</v>
      </c>
      <c r="F6" s="7">
        <v>10.79</v>
      </c>
      <c r="G6" s="8">
        <v>4.72</v>
      </c>
      <c r="H6" s="7">
        <v>35.75</v>
      </c>
      <c r="I6" s="8">
        <v>20.76</v>
      </c>
      <c r="J6" s="7">
        <f>H6-F6</f>
        <v>24.96</v>
      </c>
      <c r="K6" s="8">
        <f>I6-G6</f>
        <v>16.040000000000003</v>
      </c>
      <c r="L6" s="7">
        <v>29.3</v>
      </c>
      <c r="M6" s="8">
        <v>16.899999999999999</v>
      </c>
      <c r="N6" s="7">
        <f>L6-F6</f>
        <v>18.510000000000002</v>
      </c>
      <c r="O6" s="8">
        <f>M6-G6</f>
        <v>12.18</v>
      </c>
      <c r="P6" s="7">
        <f>J6-N6</f>
        <v>6.4499999999999993</v>
      </c>
      <c r="Q6" s="8">
        <f>K6-O6</f>
        <v>3.860000000000003</v>
      </c>
      <c r="R6" s="7">
        <f t="shared" ref="R6:S47" si="0">(P6/N6)*100</f>
        <v>34.846029173419765</v>
      </c>
      <c r="S6" s="8">
        <f t="shared" si="0"/>
        <v>31.691297208538614</v>
      </c>
      <c r="T6" s="8">
        <f>(R6+S6)/2</f>
        <v>33.26866319097919</v>
      </c>
      <c r="U6" s="7">
        <f>P6/N6*100</f>
        <v>34.846029173419765</v>
      </c>
      <c r="V6" s="30">
        <f>Q6/O6*100</f>
        <v>31.691297208538614</v>
      </c>
      <c r="W6" s="7">
        <f>(U6/'Constantes e Funções Auxiliares'!$J$21)*'Constantes e Funções Auxiliares'!$I$21</f>
        <v>63.937668208109656</v>
      </c>
      <c r="X6" s="33">
        <f>(V6/'Constantes e Funções Auxiliares'!$J$21)*'Constantes e Funções Auxiliares'!$I$21</f>
        <v>58.149169189979105</v>
      </c>
      <c r="Y6" s="30">
        <f>(W6+X6)/2</f>
        <v>61.043418699044381</v>
      </c>
    </row>
    <row r="7" spans="1:28" ht="14.95" thickBot="1" x14ac:dyDescent="0.3">
      <c r="A7" s="17" t="s">
        <v>4</v>
      </c>
      <c r="B7" s="17" t="s">
        <v>56</v>
      </c>
      <c r="C7" s="102"/>
      <c r="D7" s="92"/>
      <c r="E7" s="3">
        <v>15</v>
      </c>
      <c r="F7" s="9">
        <v>10.51</v>
      </c>
      <c r="G7" s="10">
        <v>10.130000000000001</v>
      </c>
      <c r="H7" s="9">
        <v>36.869999999999997</v>
      </c>
      <c r="I7" s="10">
        <v>27.87</v>
      </c>
      <c r="J7" s="9">
        <f t="shared" ref="J7:J47" si="1">H7-F7</f>
        <v>26.36</v>
      </c>
      <c r="K7" s="10">
        <f t="shared" ref="K7:K47" si="2">I7-G7</f>
        <v>17.740000000000002</v>
      </c>
      <c r="L7" s="9">
        <v>33.08</v>
      </c>
      <c r="M7" s="10">
        <v>25.46</v>
      </c>
      <c r="N7" s="9">
        <f t="shared" ref="N7:N47" si="3">L7-F7</f>
        <v>22.57</v>
      </c>
      <c r="O7" s="10">
        <f t="shared" ref="O7:O47" si="4">M7-G7</f>
        <v>15.33</v>
      </c>
      <c r="P7" s="9">
        <f t="shared" ref="P7:P47" si="5">J7-N7</f>
        <v>3.7899999999999991</v>
      </c>
      <c r="Q7" s="10">
        <f t="shared" ref="Q7:Q47" si="6">K7-O7</f>
        <v>2.4100000000000019</v>
      </c>
      <c r="R7" s="9">
        <f t="shared" si="0"/>
        <v>16.792202038103675</v>
      </c>
      <c r="S7" s="10">
        <f t="shared" si="0"/>
        <v>15.720808871493816</v>
      </c>
      <c r="T7" s="10">
        <f t="shared" ref="T7:T47" si="7">(R7+S7)/2</f>
        <v>16.256505454798745</v>
      </c>
      <c r="U7" s="7">
        <f t="shared" ref="U7:V47" si="8">P7/N7*100</f>
        <v>16.792202038103675</v>
      </c>
      <c r="V7" s="30">
        <f t="shared" si="8"/>
        <v>15.720808871493816</v>
      </c>
      <c r="W7" s="9">
        <f>(U7/'Constantes e Funções Auxiliares'!$J$21)*'Constantes e Funções Auxiliares'!$I$21</f>
        <v>30.81137988642876</v>
      </c>
      <c r="X7" s="34">
        <f>(V7/'Constantes e Funções Auxiliares'!$J$21)*'Constantes e Funções Auxiliares'!$I$21</f>
        <v>28.845520865126264</v>
      </c>
      <c r="Y7" s="37">
        <f t="shared" ref="Y7:Y47" si="9">(W7+X7)/2</f>
        <v>29.828450375777514</v>
      </c>
    </row>
    <row r="8" spans="1:28" ht="14.95" thickBot="1" x14ac:dyDescent="0.3">
      <c r="A8" s="17" t="s">
        <v>5</v>
      </c>
      <c r="B8" s="17" t="s">
        <v>58</v>
      </c>
      <c r="C8" s="102"/>
      <c r="D8" s="93"/>
      <c r="E8" s="4">
        <v>30</v>
      </c>
      <c r="F8" s="11">
        <v>11.25</v>
      </c>
      <c r="G8" s="12">
        <v>8.31</v>
      </c>
      <c r="H8" s="11">
        <v>38.76</v>
      </c>
      <c r="I8" s="12">
        <v>28.31</v>
      </c>
      <c r="J8" s="11">
        <f t="shared" si="1"/>
        <v>27.509999999999998</v>
      </c>
      <c r="K8" s="12">
        <f t="shared" si="2"/>
        <v>20</v>
      </c>
      <c r="L8" s="11">
        <v>34.4</v>
      </c>
      <c r="M8" s="12">
        <v>25.2</v>
      </c>
      <c r="N8" s="11">
        <f t="shared" si="3"/>
        <v>23.15</v>
      </c>
      <c r="O8" s="12">
        <f t="shared" si="4"/>
        <v>16.89</v>
      </c>
      <c r="P8" s="11">
        <f t="shared" si="5"/>
        <v>4.3599999999999994</v>
      </c>
      <c r="Q8" s="12">
        <f t="shared" si="6"/>
        <v>3.1099999999999994</v>
      </c>
      <c r="R8" s="11">
        <f t="shared" si="0"/>
        <v>18.833693304535636</v>
      </c>
      <c r="S8" s="12">
        <f t="shared" si="0"/>
        <v>18.413262285375957</v>
      </c>
      <c r="T8" s="12">
        <f t="shared" si="7"/>
        <v>18.623477794955797</v>
      </c>
      <c r="U8" s="7">
        <f t="shared" si="8"/>
        <v>18.833693304535636</v>
      </c>
      <c r="V8" s="30">
        <f t="shared" si="8"/>
        <v>18.413262285375957</v>
      </c>
      <c r="W8" s="11">
        <f>(U8/'Constantes e Funções Auxiliares'!$J$21)*'Constantes e Funções Auxiliares'!$I$21</f>
        <v>34.557235421166304</v>
      </c>
      <c r="X8" s="35">
        <f>(V8/'Constantes e Funções Auxiliares'!$J$21)*'Constantes e Funções Auxiliares'!$I$21</f>
        <v>33.785802358487992</v>
      </c>
      <c r="Y8" s="38">
        <f t="shared" si="9"/>
        <v>34.171518889827148</v>
      </c>
    </row>
    <row r="9" spans="1:28" ht="14.95" thickBot="1" x14ac:dyDescent="0.3">
      <c r="A9" s="17" t="s">
        <v>6</v>
      </c>
      <c r="B9" s="17" t="s">
        <v>57</v>
      </c>
      <c r="C9" s="102"/>
      <c r="D9" s="91">
        <v>2</v>
      </c>
      <c r="E9" s="2">
        <v>5</v>
      </c>
      <c r="F9" s="7">
        <v>24.03</v>
      </c>
      <c r="G9" s="8">
        <v>4.49</v>
      </c>
      <c r="H9" s="7">
        <v>51.13</v>
      </c>
      <c r="I9" s="8">
        <v>20.309999999999999</v>
      </c>
      <c r="J9" s="7">
        <f t="shared" si="1"/>
        <v>27.1</v>
      </c>
      <c r="K9" s="8">
        <f t="shared" si="2"/>
        <v>15.819999999999999</v>
      </c>
      <c r="L9" s="7">
        <v>45.96</v>
      </c>
      <c r="M9" s="8">
        <v>17.34</v>
      </c>
      <c r="N9" s="7">
        <f t="shared" si="3"/>
        <v>21.93</v>
      </c>
      <c r="O9" s="8">
        <f t="shared" si="4"/>
        <v>12.85</v>
      </c>
      <c r="P9" s="7">
        <f t="shared" si="5"/>
        <v>5.1700000000000017</v>
      </c>
      <c r="Q9" s="8">
        <f t="shared" si="6"/>
        <v>2.9699999999999989</v>
      </c>
      <c r="R9" s="7">
        <f t="shared" si="0"/>
        <v>23.57501139990881</v>
      </c>
      <c r="S9" s="8">
        <f t="shared" si="0"/>
        <v>23.112840466926063</v>
      </c>
      <c r="T9" s="8">
        <f t="shared" si="7"/>
        <v>23.343925933417438</v>
      </c>
      <c r="U9" s="7">
        <f t="shared" si="8"/>
        <v>23.57501139990881</v>
      </c>
      <c r="V9" s="30">
        <f t="shared" si="8"/>
        <v>23.112840466926063</v>
      </c>
      <c r="W9" s="7">
        <f>(U9/'Constantes e Funções Auxiliares'!$J$21)*'Constantes e Funções Auxiliares'!$I$21</f>
        <v>43.256901651208821</v>
      </c>
      <c r="X9" s="33">
        <f>(V9/'Constantes e Funções Auxiliares'!$J$21)*'Constantes e Funções Auxiliares'!$I$21</f>
        <v>42.408881590690022</v>
      </c>
      <c r="Y9" s="30">
        <f t="shared" si="9"/>
        <v>42.832891620949425</v>
      </c>
    </row>
    <row r="10" spans="1:28" ht="14.95" thickBot="1" x14ac:dyDescent="0.3">
      <c r="A10" s="17" t="s">
        <v>7</v>
      </c>
      <c r="B10" s="17" t="s">
        <v>59</v>
      </c>
      <c r="C10" s="102"/>
      <c r="D10" s="92">
        <v>2</v>
      </c>
      <c r="E10" s="3">
        <v>15</v>
      </c>
      <c r="F10" s="9">
        <v>20.23</v>
      </c>
      <c r="G10" s="10">
        <v>4.6900000000000004</v>
      </c>
      <c r="H10" s="9">
        <v>47.27</v>
      </c>
      <c r="I10" s="10">
        <v>22.51</v>
      </c>
      <c r="J10" s="9">
        <f t="shared" si="1"/>
        <v>27.040000000000003</v>
      </c>
      <c r="K10" s="10">
        <f t="shared" si="2"/>
        <v>17.82</v>
      </c>
      <c r="L10" s="9">
        <v>42.26</v>
      </c>
      <c r="M10" s="10">
        <v>19.309999999999999</v>
      </c>
      <c r="N10" s="9">
        <f t="shared" si="3"/>
        <v>22.029999999999998</v>
      </c>
      <c r="O10" s="10">
        <f t="shared" si="4"/>
        <v>14.619999999999997</v>
      </c>
      <c r="P10" s="9">
        <f t="shared" si="5"/>
        <v>5.0100000000000051</v>
      </c>
      <c r="Q10" s="10">
        <f t="shared" si="6"/>
        <v>3.2000000000000028</v>
      </c>
      <c r="R10" s="9">
        <f t="shared" si="0"/>
        <v>22.741715842033617</v>
      </c>
      <c r="S10" s="10">
        <f t="shared" si="0"/>
        <v>21.887824897400844</v>
      </c>
      <c r="T10" s="10">
        <f t="shared" si="7"/>
        <v>22.31477036971723</v>
      </c>
      <c r="U10" s="7">
        <f t="shared" si="8"/>
        <v>22.741715842033617</v>
      </c>
      <c r="V10" s="30">
        <f t="shared" si="8"/>
        <v>21.887824897400844</v>
      </c>
      <c r="W10" s="9">
        <f>(U10/'Constantes e Funções Auxiliares'!$J$21)*'Constantes e Funções Auxiliares'!$I$21</f>
        <v>41.727918976208471</v>
      </c>
      <c r="X10" s="34">
        <f>(V10/'Constantes e Funções Auxiliares'!$J$21)*'Constantes e Funções Auxiliares'!$I$21</f>
        <v>40.161146600735492</v>
      </c>
      <c r="Y10" s="37">
        <f t="shared" si="9"/>
        <v>40.944532788471982</v>
      </c>
    </row>
    <row r="11" spans="1:28" ht="14.95" thickBot="1" x14ac:dyDescent="0.3">
      <c r="A11" s="17" t="s">
        <v>8</v>
      </c>
      <c r="B11" s="17" t="s">
        <v>60</v>
      </c>
      <c r="C11" s="102"/>
      <c r="D11" s="93"/>
      <c r="E11" s="4">
        <v>30</v>
      </c>
      <c r="F11" s="11">
        <v>20.58</v>
      </c>
      <c r="G11" s="12">
        <v>4.6900000000000004</v>
      </c>
      <c r="H11" s="11">
        <v>49.98</v>
      </c>
      <c r="I11" s="12">
        <v>24</v>
      </c>
      <c r="J11" s="11">
        <f t="shared" si="1"/>
        <v>29.4</v>
      </c>
      <c r="K11" s="12">
        <f t="shared" si="2"/>
        <v>19.309999999999999</v>
      </c>
      <c r="L11" s="11">
        <v>45.33</v>
      </c>
      <c r="M11" s="12">
        <v>20.98</v>
      </c>
      <c r="N11" s="11">
        <f t="shared" si="3"/>
        <v>24.75</v>
      </c>
      <c r="O11" s="12">
        <f t="shared" si="4"/>
        <v>16.29</v>
      </c>
      <c r="P11" s="11">
        <f t="shared" si="5"/>
        <v>4.6499999999999986</v>
      </c>
      <c r="Q11" s="12">
        <f t="shared" si="6"/>
        <v>3.0199999999999996</v>
      </c>
      <c r="R11" s="11">
        <f t="shared" si="0"/>
        <v>18.787878787878782</v>
      </c>
      <c r="S11" s="12">
        <f t="shared" si="0"/>
        <v>18.538980969920193</v>
      </c>
      <c r="T11" s="12">
        <f t="shared" si="7"/>
        <v>18.663429878899485</v>
      </c>
      <c r="U11" s="7">
        <f t="shared" si="8"/>
        <v>18.787878787878782</v>
      </c>
      <c r="V11" s="30">
        <f t="shared" si="8"/>
        <v>18.538980969920193</v>
      </c>
      <c r="W11" s="11">
        <f>(U11/'Constantes e Funções Auxiliares'!$J$21)*'Constantes e Funções Auxiliares'!$I$21</f>
        <v>34.473172087850976</v>
      </c>
      <c r="X11" s="35">
        <f>(V11/'Constantes e Funções Auxiliares'!$J$21)*'Constantes e Funções Auxiliares'!$I$21</f>
        <v>34.016478843890262</v>
      </c>
      <c r="Y11" s="38">
        <f t="shared" si="9"/>
        <v>34.244825465870619</v>
      </c>
    </row>
    <row r="12" spans="1:28" ht="14.95" thickBot="1" x14ac:dyDescent="0.3">
      <c r="A12" s="17" t="s">
        <v>9</v>
      </c>
      <c r="B12" s="17" t="s">
        <v>61</v>
      </c>
      <c r="C12" s="102"/>
      <c r="D12" s="91">
        <v>3</v>
      </c>
      <c r="E12" s="2">
        <v>5</v>
      </c>
      <c r="F12" s="7">
        <v>20.62</v>
      </c>
      <c r="G12" s="8">
        <v>4.54</v>
      </c>
      <c r="H12" s="7">
        <v>46.97</v>
      </c>
      <c r="I12" s="8">
        <v>22.41</v>
      </c>
      <c r="J12" s="7">
        <f t="shared" si="1"/>
        <v>26.349999999999998</v>
      </c>
      <c r="K12" s="8">
        <f t="shared" si="2"/>
        <v>17.87</v>
      </c>
      <c r="L12" s="7">
        <v>41.84</v>
      </c>
      <c r="M12" s="8">
        <v>19.95</v>
      </c>
      <c r="N12" s="7">
        <f t="shared" si="3"/>
        <v>21.220000000000002</v>
      </c>
      <c r="O12" s="8">
        <f t="shared" si="4"/>
        <v>15.41</v>
      </c>
      <c r="P12" s="7">
        <f t="shared" si="5"/>
        <v>5.1299999999999955</v>
      </c>
      <c r="Q12" s="8">
        <f t="shared" si="6"/>
        <v>2.4600000000000009</v>
      </c>
      <c r="R12" s="7">
        <f t="shared" si="0"/>
        <v>24.175306314797336</v>
      </c>
      <c r="S12" s="8">
        <f t="shared" si="0"/>
        <v>15.96365996106425</v>
      </c>
      <c r="T12" s="8">
        <f t="shared" si="7"/>
        <v>20.069483137930792</v>
      </c>
      <c r="U12" s="7">
        <f t="shared" si="8"/>
        <v>24.175306314797336</v>
      </c>
      <c r="V12" s="30">
        <f t="shared" si="8"/>
        <v>15.96365996106425</v>
      </c>
      <c r="W12" s="7">
        <f>(U12/'Constantes e Funções Auxiliares'!$J$21)*'Constantes e Funções Auxiliares'!$I$21</f>
        <v>44.358360210637308</v>
      </c>
      <c r="X12" s="33">
        <f>(V12/'Constantes e Funções Auxiliares'!$J$21)*'Constantes e Funções Auxiliares'!$I$21</f>
        <v>29.291119194613302</v>
      </c>
      <c r="Y12" s="30">
        <f t="shared" si="9"/>
        <v>36.824739702625308</v>
      </c>
    </row>
    <row r="13" spans="1:28" ht="14.95" thickBot="1" x14ac:dyDescent="0.3">
      <c r="A13" s="17" t="s">
        <v>10</v>
      </c>
      <c r="B13" s="17" t="s">
        <v>62</v>
      </c>
      <c r="C13" s="102"/>
      <c r="D13" s="92">
        <v>3</v>
      </c>
      <c r="E13" s="3">
        <v>15</v>
      </c>
      <c r="F13" s="9">
        <v>10.32</v>
      </c>
      <c r="G13" s="10">
        <v>4.59</v>
      </c>
      <c r="H13" s="9">
        <v>42.17</v>
      </c>
      <c r="I13" s="10">
        <v>28.82</v>
      </c>
      <c r="J13" s="9">
        <f t="shared" si="1"/>
        <v>31.85</v>
      </c>
      <c r="K13" s="10">
        <f t="shared" si="2"/>
        <v>24.23</v>
      </c>
      <c r="L13" s="9">
        <v>36.54</v>
      </c>
      <c r="M13" s="10">
        <v>24.59</v>
      </c>
      <c r="N13" s="9">
        <f t="shared" si="3"/>
        <v>26.22</v>
      </c>
      <c r="O13" s="10">
        <f t="shared" si="4"/>
        <v>20</v>
      </c>
      <c r="P13" s="9">
        <f t="shared" si="5"/>
        <v>5.6300000000000026</v>
      </c>
      <c r="Q13" s="10">
        <f t="shared" si="6"/>
        <v>4.2300000000000004</v>
      </c>
      <c r="R13" s="9">
        <f t="shared" si="0"/>
        <v>21.472158657513361</v>
      </c>
      <c r="S13" s="10">
        <f t="shared" si="0"/>
        <v>21.150000000000002</v>
      </c>
      <c r="T13" s="10">
        <f t="shared" si="7"/>
        <v>21.311079328756684</v>
      </c>
      <c r="U13" s="7">
        <f t="shared" si="8"/>
        <v>21.472158657513361</v>
      </c>
      <c r="V13" s="30">
        <f t="shared" si="8"/>
        <v>21.150000000000002</v>
      </c>
      <c r="W13" s="9">
        <f>(U13/'Constantes e Funções Auxiliares'!$J$21)*'Constantes e Funções Auxiliares'!$I$21</f>
        <v>39.398456252318091</v>
      </c>
      <c r="X13" s="34">
        <f>(V13/'Constantes e Funções Auxiliares'!$J$21)*'Constantes e Funções Auxiliares'!$I$21</f>
        <v>38.807339449541288</v>
      </c>
      <c r="Y13" s="37">
        <f t="shared" si="9"/>
        <v>39.102897850929693</v>
      </c>
    </row>
    <row r="14" spans="1:28" ht="14.95" thickBot="1" x14ac:dyDescent="0.3">
      <c r="A14" s="17" t="s">
        <v>11</v>
      </c>
      <c r="B14" s="17" t="s">
        <v>63</v>
      </c>
      <c r="C14" s="102"/>
      <c r="D14" s="93"/>
      <c r="E14" s="4">
        <v>30</v>
      </c>
      <c r="F14" s="11">
        <v>10.16</v>
      </c>
      <c r="G14" s="12">
        <v>9.1999999999999993</v>
      </c>
      <c r="H14" s="11">
        <v>39.4</v>
      </c>
      <c r="I14" s="12">
        <v>38.86</v>
      </c>
      <c r="J14" s="11">
        <f t="shared" si="1"/>
        <v>29.24</v>
      </c>
      <c r="K14" s="12">
        <f t="shared" si="2"/>
        <v>29.66</v>
      </c>
      <c r="L14" s="11">
        <v>35.18</v>
      </c>
      <c r="M14" s="12">
        <v>34.57</v>
      </c>
      <c r="N14" s="11">
        <f t="shared" si="3"/>
        <v>25.02</v>
      </c>
      <c r="O14" s="12">
        <f t="shared" si="4"/>
        <v>25.37</v>
      </c>
      <c r="P14" s="11">
        <f t="shared" si="5"/>
        <v>4.2199999999999989</v>
      </c>
      <c r="Q14" s="12">
        <f t="shared" si="6"/>
        <v>4.2899999999999991</v>
      </c>
      <c r="R14" s="11">
        <f t="shared" si="0"/>
        <v>16.866506794564344</v>
      </c>
      <c r="S14" s="12">
        <f t="shared" si="0"/>
        <v>16.909735908553404</v>
      </c>
      <c r="T14" s="12">
        <f t="shared" si="7"/>
        <v>16.888121351558873</v>
      </c>
      <c r="U14" s="7">
        <f t="shared" si="8"/>
        <v>16.866506794564344</v>
      </c>
      <c r="V14" s="30">
        <f t="shared" si="8"/>
        <v>16.909735908553404</v>
      </c>
      <c r="W14" s="11">
        <f>(U14/'Constantes e Funções Auxiliares'!$J$21)*'Constantes e Funções Auxiliares'!$I$21</f>
        <v>30.947718889108888</v>
      </c>
      <c r="X14" s="35">
        <f>(V14/'Constantes e Funções Auxiliares'!$J$21)*'Constantes e Funções Auxiliares'!$I$21</f>
        <v>31.027038364318173</v>
      </c>
      <c r="Y14" s="38">
        <f t="shared" si="9"/>
        <v>30.987378626713529</v>
      </c>
    </row>
    <row r="15" spans="1:28" ht="14.95" thickBot="1" x14ac:dyDescent="0.3">
      <c r="A15" s="17" t="s">
        <v>12</v>
      </c>
      <c r="B15" s="17" t="s">
        <v>64</v>
      </c>
      <c r="C15" s="102"/>
      <c r="D15" s="91">
        <v>4</v>
      </c>
      <c r="E15" s="2">
        <v>5</v>
      </c>
      <c r="F15" s="7">
        <v>21.08</v>
      </c>
      <c r="G15" s="8">
        <v>4.38</v>
      </c>
      <c r="H15" s="7">
        <v>46.45</v>
      </c>
      <c r="I15" s="8">
        <v>29.7</v>
      </c>
      <c r="J15" s="7">
        <f t="shared" si="1"/>
        <v>25.370000000000005</v>
      </c>
      <c r="K15" s="8">
        <f t="shared" si="2"/>
        <v>25.32</v>
      </c>
      <c r="L15" s="7">
        <v>41.76</v>
      </c>
      <c r="M15" s="8">
        <v>24.69</v>
      </c>
      <c r="N15" s="7">
        <f t="shared" si="3"/>
        <v>20.68</v>
      </c>
      <c r="O15" s="8">
        <f t="shared" si="4"/>
        <v>20.310000000000002</v>
      </c>
      <c r="P15" s="7">
        <f t="shared" si="5"/>
        <v>4.6900000000000048</v>
      </c>
      <c r="Q15" s="8">
        <f t="shared" si="6"/>
        <v>5.009999999999998</v>
      </c>
      <c r="R15" s="7">
        <f t="shared" si="0"/>
        <v>22.678916827853023</v>
      </c>
      <c r="S15" s="8">
        <f t="shared" si="0"/>
        <v>24.667651403249618</v>
      </c>
      <c r="T15" s="8">
        <f t="shared" si="7"/>
        <v>23.673284115551319</v>
      </c>
      <c r="U15" s="7">
        <f t="shared" si="8"/>
        <v>22.678916827853023</v>
      </c>
      <c r="V15" s="30">
        <f t="shared" si="8"/>
        <v>24.667651403249618</v>
      </c>
      <c r="W15" s="7">
        <f>(U15/'Constantes e Funções Auxiliares'!$J$21)*'Constantes e Funções Auxiliares'!$I$21</f>
        <v>41.612691427253253</v>
      </c>
      <c r="X15" s="33">
        <f>(V15/'Constantes e Funções Auxiliares'!$J$21)*'Constantes e Funções Auxiliares'!$I$21</f>
        <v>45.261745694035994</v>
      </c>
      <c r="Y15" s="30">
        <f t="shared" si="9"/>
        <v>43.437218560644624</v>
      </c>
    </row>
    <row r="16" spans="1:28" ht="14.95" thickBot="1" x14ac:dyDescent="0.3">
      <c r="A16" s="17" t="s">
        <v>13</v>
      </c>
      <c r="B16" s="17" t="s">
        <v>65</v>
      </c>
      <c r="C16" s="102"/>
      <c r="D16" s="92">
        <v>4</v>
      </c>
      <c r="E16" s="3">
        <v>15</v>
      </c>
      <c r="F16" s="9">
        <v>10.82</v>
      </c>
      <c r="G16" s="10">
        <v>4.54</v>
      </c>
      <c r="H16" s="9">
        <v>40.450000000000003</v>
      </c>
      <c r="I16" s="10">
        <v>25.46</v>
      </c>
      <c r="J16" s="9">
        <f t="shared" si="1"/>
        <v>29.630000000000003</v>
      </c>
      <c r="K16" s="10">
        <f t="shared" si="2"/>
        <v>20.92</v>
      </c>
      <c r="L16" s="9">
        <v>34.479999999999997</v>
      </c>
      <c r="M16" s="10">
        <v>21.09</v>
      </c>
      <c r="N16" s="9">
        <f t="shared" si="3"/>
        <v>23.659999999999997</v>
      </c>
      <c r="O16" s="10">
        <f t="shared" si="4"/>
        <v>16.55</v>
      </c>
      <c r="P16" s="9">
        <f t="shared" si="5"/>
        <v>5.970000000000006</v>
      </c>
      <c r="Q16" s="10">
        <f t="shared" si="6"/>
        <v>4.370000000000001</v>
      </c>
      <c r="R16" s="9">
        <f t="shared" si="0"/>
        <v>25.232459847844492</v>
      </c>
      <c r="S16" s="10">
        <f t="shared" si="0"/>
        <v>26.40483383685801</v>
      </c>
      <c r="T16" s="10">
        <f t="shared" si="7"/>
        <v>25.818646842351249</v>
      </c>
      <c r="U16" s="7">
        <f t="shared" si="8"/>
        <v>25.232459847844492</v>
      </c>
      <c r="V16" s="30">
        <f t="shared" si="8"/>
        <v>26.40483383685801</v>
      </c>
      <c r="W16" s="9">
        <f>(U16/'Constantes e Funções Auxiliares'!$J$21)*'Constantes e Funções Auxiliares'!$I$21</f>
        <v>46.298091463934846</v>
      </c>
      <c r="X16" s="34">
        <f>(V16/'Constantes e Funções Auxiliares'!$J$21)*'Constantes e Funções Auxiliares'!$I$21</f>
        <v>48.449236397904606</v>
      </c>
      <c r="Y16" s="37">
        <f t="shared" si="9"/>
        <v>47.373663930919726</v>
      </c>
    </row>
    <row r="17" spans="1:25" ht="14.95" thickBot="1" x14ac:dyDescent="0.3">
      <c r="A17" s="17" t="s">
        <v>14</v>
      </c>
      <c r="B17" s="17" t="s">
        <v>66</v>
      </c>
      <c r="C17" s="102"/>
      <c r="D17" s="93"/>
      <c r="E17" s="4">
        <v>30</v>
      </c>
      <c r="F17" s="11">
        <v>20.65</v>
      </c>
      <c r="G17" s="12">
        <v>8.09</v>
      </c>
      <c r="H17" s="11">
        <v>43.56</v>
      </c>
      <c r="I17" s="12">
        <v>33.96</v>
      </c>
      <c r="J17" s="11">
        <f t="shared" si="1"/>
        <v>22.910000000000004</v>
      </c>
      <c r="K17" s="12">
        <f t="shared" si="2"/>
        <v>25.87</v>
      </c>
      <c r="L17" s="11">
        <v>40.54</v>
      </c>
      <c r="M17" s="12">
        <v>30.52</v>
      </c>
      <c r="N17" s="11">
        <f t="shared" si="3"/>
        <v>19.89</v>
      </c>
      <c r="O17" s="12">
        <f t="shared" si="4"/>
        <v>22.43</v>
      </c>
      <c r="P17" s="11">
        <f t="shared" si="5"/>
        <v>3.0200000000000031</v>
      </c>
      <c r="Q17" s="12">
        <f t="shared" si="6"/>
        <v>3.4400000000000013</v>
      </c>
      <c r="R17" s="11">
        <f t="shared" si="0"/>
        <v>15.183509301156375</v>
      </c>
      <c r="S17" s="12">
        <f t="shared" si="0"/>
        <v>15.336602764155154</v>
      </c>
      <c r="T17" s="12">
        <f t="shared" si="7"/>
        <v>15.260056032655765</v>
      </c>
      <c r="U17" s="7">
        <f t="shared" si="8"/>
        <v>15.183509301156375</v>
      </c>
      <c r="V17" s="30">
        <f t="shared" si="8"/>
        <v>15.336602764155154</v>
      </c>
      <c r="W17" s="11">
        <f>(U17/'Constantes e Funções Auxiliares'!$J$21)*'Constantes e Funções Auxiliares'!$I$21</f>
        <v>27.859650093864907</v>
      </c>
      <c r="X17" s="35">
        <f>(V17/'Constantes e Funções Auxiliares'!$J$21)*'Constantes e Funções Auxiliares'!$I$21</f>
        <v>28.140555530559915</v>
      </c>
      <c r="Y17" s="38">
        <f t="shared" si="9"/>
        <v>28.000102812212411</v>
      </c>
    </row>
    <row r="18" spans="1:25" ht="14.95" thickBot="1" x14ac:dyDescent="0.3">
      <c r="A18" s="17" t="s">
        <v>15</v>
      </c>
      <c r="B18" s="17" t="s">
        <v>67</v>
      </c>
      <c r="C18" s="102"/>
      <c r="D18" s="91">
        <v>5</v>
      </c>
      <c r="E18" s="2">
        <v>5</v>
      </c>
      <c r="F18" s="7">
        <v>18.149999999999999</v>
      </c>
      <c r="G18" s="8">
        <v>14.76</v>
      </c>
      <c r="H18" s="7">
        <v>44.67</v>
      </c>
      <c r="I18" s="8">
        <v>39.450000000000003</v>
      </c>
      <c r="J18" s="7">
        <f t="shared" si="1"/>
        <v>26.520000000000003</v>
      </c>
      <c r="K18" s="8">
        <f t="shared" si="2"/>
        <v>24.690000000000005</v>
      </c>
      <c r="L18" s="7">
        <v>39.07</v>
      </c>
      <c r="M18" s="8">
        <v>34.31</v>
      </c>
      <c r="N18" s="7">
        <f t="shared" si="3"/>
        <v>20.92</v>
      </c>
      <c r="O18" s="8">
        <f t="shared" si="4"/>
        <v>19.550000000000004</v>
      </c>
      <c r="P18" s="7">
        <f t="shared" si="5"/>
        <v>5.6000000000000014</v>
      </c>
      <c r="Q18" s="8">
        <f t="shared" si="6"/>
        <v>5.1400000000000006</v>
      </c>
      <c r="R18" s="7">
        <f t="shared" si="0"/>
        <v>26.768642447418745</v>
      </c>
      <c r="S18" s="8">
        <f t="shared" si="0"/>
        <v>26.291560102301787</v>
      </c>
      <c r="T18" s="8">
        <f t="shared" si="7"/>
        <v>26.530101274860264</v>
      </c>
      <c r="U18" s="7">
        <f t="shared" si="8"/>
        <v>26.768642447418745</v>
      </c>
      <c r="V18" s="30">
        <f t="shared" si="8"/>
        <v>26.291560102301787</v>
      </c>
      <c r="W18" s="7">
        <f>(U18/'Constantes e Funções Auxiliares'!$J$21)*'Constantes e Funções Auxiliares'!$I$21</f>
        <v>49.116775132878431</v>
      </c>
      <c r="X18" s="33">
        <f>(V18/'Constantes e Funções Auxiliares'!$J$21)*'Constantes e Funções Auxiliares'!$I$21</f>
        <v>48.241394683122543</v>
      </c>
      <c r="Y18" s="30">
        <f t="shared" si="9"/>
        <v>48.67908490800049</v>
      </c>
    </row>
    <row r="19" spans="1:25" ht="14.95" thickBot="1" x14ac:dyDescent="0.3">
      <c r="A19" s="17" t="s">
        <v>16</v>
      </c>
      <c r="B19" s="17" t="s">
        <v>68</v>
      </c>
      <c r="C19" s="102"/>
      <c r="D19" s="92">
        <v>5</v>
      </c>
      <c r="E19" s="3">
        <v>15</v>
      </c>
      <c r="F19" s="9">
        <v>20.98</v>
      </c>
      <c r="G19" s="10">
        <v>4.6500000000000004</v>
      </c>
      <c r="H19" s="9">
        <v>44.27</v>
      </c>
      <c r="I19" s="10">
        <v>26.61</v>
      </c>
      <c r="J19" s="9">
        <f t="shared" si="1"/>
        <v>23.290000000000003</v>
      </c>
      <c r="K19" s="10">
        <f t="shared" si="2"/>
        <v>21.96</v>
      </c>
      <c r="L19" s="9">
        <v>39.65</v>
      </c>
      <c r="M19" s="10">
        <v>22.39</v>
      </c>
      <c r="N19" s="9">
        <f t="shared" si="3"/>
        <v>18.669999999999998</v>
      </c>
      <c r="O19" s="10">
        <f t="shared" si="4"/>
        <v>17.740000000000002</v>
      </c>
      <c r="P19" s="9">
        <f t="shared" si="5"/>
        <v>4.6200000000000045</v>
      </c>
      <c r="Q19" s="10">
        <f t="shared" si="6"/>
        <v>4.2199999999999989</v>
      </c>
      <c r="R19" s="9">
        <f t="shared" si="0"/>
        <v>24.745581146223916</v>
      </c>
      <c r="S19" s="10">
        <f t="shared" si="0"/>
        <v>23.788049605411491</v>
      </c>
      <c r="T19" s="10">
        <f t="shared" si="7"/>
        <v>24.266815375817703</v>
      </c>
      <c r="U19" s="7">
        <f t="shared" si="8"/>
        <v>24.745581146223916</v>
      </c>
      <c r="V19" s="30">
        <f t="shared" si="8"/>
        <v>23.788049605411491</v>
      </c>
      <c r="W19" s="9">
        <f>(U19/'Constantes e Funções Auxiliares'!$J$21)*'Constantes e Funções Auxiliares'!$I$21</f>
        <v>45.404736048117272</v>
      </c>
      <c r="X19" s="34">
        <f>(V19/'Constantes e Funções Auxiliares'!$J$21)*'Constantes e Funções Auxiliares'!$I$21</f>
        <v>43.647797441122002</v>
      </c>
      <c r="Y19" s="37">
        <f t="shared" si="9"/>
        <v>44.526266744619633</v>
      </c>
    </row>
    <row r="20" spans="1:25" ht="14.95" thickBot="1" x14ac:dyDescent="0.3">
      <c r="A20" s="17" t="s">
        <v>17</v>
      </c>
      <c r="B20" s="17" t="s">
        <v>69</v>
      </c>
      <c r="C20" s="102"/>
      <c r="D20" s="93"/>
      <c r="E20" s="4">
        <v>30</v>
      </c>
      <c r="F20" s="11">
        <v>11.02</v>
      </c>
      <c r="G20" s="12">
        <v>4.43</v>
      </c>
      <c r="H20" s="11">
        <v>35.96</v>
      </c>
      <c r="I20" s="12">
        <v>23.09</v>
      </c>
      <c r="J20" s="11">
        <f t="shared" si="1"/>
        <v>24.94</v>
      </c>
      <c r="K20" s="12">
        <f t="shared" si="2"/>
        <v>18.66</v>
      </c>
      <c r="L20" s="11">
        <v>32.03</v>
      </c>
      <c r="M20" s="12">
        <v>19.86</v>
      </c>
      <c r="N20" s="11">
        <f t="shared" si="3"/>
        <v>21.01</v>
      </c>
      <c r="O20" s="12">
        <f t="shared" si="4"/>
        <v>15.43</v>
      </c>
      <c r="P20" s="11">
        <f t="shared" si="5"/>
        <v>3.9299999999999997</v>
      </c>
      <c r="Q20" s="12">
        <f t="shared" si="6"/>
        <v>3.2300000000000004</v>
      </c>
      <c r="R20" s="11">
        <f t="shared" si="0"/>
        <v>18.705378391242263</v>
      </c>
      <c r="S20" s="12">
        <f t="shared" si="0"/>
        <v>20.93324692158134</v>
      </c>
      <c r="T20" s="12">
        <f t="shared" si="7"/>
        <v>19.819312656411803</v>
      </c>
      <c r="U20" s="7">
        <f t="shared" si="8"/>
        <v>18.705378391242263</v>
      </c>
      <c r="V20" s="30">
        <f t="shared" si="8"/>
        <v>20.93324692158134</v>
      </c>
      <c r="W20" s="11">
        <f>(U20/'Constantes e Funções Auxiliares'!$J$21)*'Constantes e Funções Auxiliares'!$I$21</f>
        <v>34.321795213288553</v>
      </c>
      <c r="X20" s="35">
        <f>(V20/'Constantes e Funções Auxiliares'!$J$21)*'Constantes e Funções Auxiliares'!$I$21</f>
        <v>38.409627379048324</v>
      </c>
      <c r="Y20" s="38">
        <f t="shared" si="9"/>
        <v>36.365711296168442</v>
      </c>
    </row>
    <row r="21" spans="1:25" ht="14.95" thickBot="1" x14ac:dyDescent="0.3">
      <c r="A21" s="17" t="s">
        <v>18</v>
      </c>
      <c r="B21" s="17" t="s">
        <v>70</v>
      </c>
      <c r="C21" s="102"/>
      <c r="D21" s="91">
        <v>6</v>
      </c>
      <c r="E21" s="2">
        <v>5</v>
      </c>
      <c r="F21" s="7">
        <v>10</v>
      </c>
      <c r="G21" s="8">
        <v>14.56</v>
      </c>
      <c r="H21" s="7">
        <v>35.04</v>
      </c>
      <c r="I21" s="8">
        <v>34.24</v>
      </c>
      <c r="J21" s="7">
        <f t="shared" si="1"/>
        <v>25.04</v>
      </c>
      <c r="K21" s="8">
        <f t="shared" si="2"/>
        <v>19.68</v>
      </c>
      <c r="L21" s="7">
        <v>30.03</v>
      </c>
      <c r="M21" s="8">
        <v>30.51</v>
      </c>
      <c r="N21" s="7">
        <f t="shared" si="3"/>
        <v>20.03</v>
      </c>
      <c r="O21" s="8">
        <f t="shared" si="4"/>
        <v>15.950000000000001</v>
      </c>
      <c r="P21" s="7">
        <f t="shared" si="5"/>
        <v>5.009999999999998</v>
      </c>
      <c r="Q21" s="8">
        <f t="shared" si="6"/>
        <v>3.7299999999999986</v>
      </c>
      <c r="R21" s="7">
        <f t="shared" si="0"/>
        <v>25.012481278082866</v>
      </c>
      <c r="S21" s="8">
        <f t="shared" si="0"/>
        <v>23.385579937304065</v>
      </c>
      <c r="T21" s="8">
        <f t="shared" si="7"/>
        <v>24.199030607693466</v>
      </c>
      <c r="U21" s="7">
        <f t="shared" si="8"/>
        <v>25.012481278082866</v>
      </c>
      <c r="V21" s="30">
        <f t="shared" si="8"/>
        <v>23.385579937304065</v>
      </c>
      <c r="W21" s="7">
        <f>(U21/'Constantes e Funções Auxiliares'!$J$21)*'Constantes e Funções Auxiliares'!$I$21</f>
        <v>45.894461060702504</v>
      </c>
      <c r="X21" s="33">
        <f>(V21/'Constantes e Funções Auxiliares'!$J$21)*'Constantes e Funções Auxiliares'!$I$21</f>
        <v>42.909320985879013</v>
      </c>
      <c r="Y21" s="30">
        <f t="shared" si="9"/>
        <v>44.401891023290759</v>
      </c>
    </row>
    <row r="22" spans="1:25" ht="14.95" thickBot="1" x14ac:dyDescent="0.3">
      <c r="A22" s="17" t="s">
        <v>19</v>
      </c>
      <c r="B22" s="17" t="s">
        <v>71</v>
      </c>
      <c r="C22" s="102"/>
      <c r="D22" s="92">
        <v>6</v>
      </c>
      <c r="E22" s="3">
        <v>15</v>
      </c>
      <c r="F22" s="9">
        <v>22.99</v>
      </c>
      <c r="G22" s="10">
        <v>4.63</v>
      </c>
      <c r="H22" s="9">
        <v>49.07</v>
      </c>
      <c r="I22" s="10">
        <v>24.81</v>
      </c>
      <c r="J22" s="9">
        <f t="shared" si="1"/>
        <v>26.080000000000002</v>
      </c>
      <c r="K22" s="10">
        <f t="shared" si="2"/>
        <v>20.18</v>
      </c>
      <c r="L22" s="9">
        <v>44.76</v>
      </c>
      <c r="M22" s="10">
        <v>21.64</v>
      </c>
      <c r="N22" s="9">
        <f t="shared" si="3"/>
        <v>21.77</v>
      </c>
      <c r="O22" s="10">
        <f t="shared" si="4"/>
        <v>17.010000000000002</v>
      </c>
      <c r="P22" s="9">
        <f t="shared" si="5"/>
        <v>4.3100000000000023</v>
      </c>
      <c r="Q22" s="10">
        <f t="shared" si="6"/>
        <v>3.1699999999999982</v>
      </c>
      <c r="R22" s="9">
        <f t="shared" si="0"/>
        <v>19.797887000459358</v>
      </c>
      <c r="S22" s="10">
        <f t="shared" si="0"/>
        <v>18.636096413874178</v>
      </c>
      <c r="T22" s="10">
        <f t="shared" si="7"/>
        <v>19.21699170716677</v>
      </c>
      <c r="U22" s="7">
        <f t="shared" si="8"/>
        <v>19.797887000459358</v>
      </c>
      <c r="V22" s="30">
        <f t="shared" si="8"/>
        <v>18.636096413874178</v>
      </c>
      <c r="W22" s="9">
        <f>(U22/'Constantes e Funções Auxiliares'!$J$21)*'Constantes e Funções Auxiliares'!$I$21</f>
        <v>36.326398165980471</v>
      </c>
      <c r="X22" s="34">
        <f>(V22/'Constantes e Funções Auxiliares'!$J$21)*'Constantes e Funções Auxiliares'!$I$21</f>
        <v>34.194672319035185</v>
      </c>
      <c r="Y22" s="37">
        <f t="shared" si="9"/>
        <v>35.260535242507828</v>
      </c>
    </row>
    <row r="23" spans="1:25" ht="14.95" thickBot="1" x14ac:dyDescent="0.3">
      <c r="A23" s="17" t="s">
        <v>20</v>
      </c>
      <c r="B23" s="17" t="s">
        <v>72</v>
      </c>
      <c r="C23" s="103"/>
      <c r="D23" s="93"/>
      <c r="E23" s="4">
        <v>30</v>
      </c>
      <c r="F23" s="11">
        <v>10.79</v>
      </c>
      <c r="G23" s="12">
        <v>4.7300000000000004</v>
      </c>
      <c r="H23" s="11">
        <v>36.979999999999997</v>
      </c>
      <c r="I23" s="12">
        <v>27</v>
      </c>
      <c r="J23" s="11">
        <f t="shared" si="1"/>
        <v>26.189999999999998</v>
      </c>
      <c r="K23" s="12">
        <f t="shared" si="2"/>
        <v>22.27</v>
      </c>
      <c r="L23" s="11">
        <v>33.04</v>
      </c>
      <c r="M23" s="12">
        <v>23.72</v>
      </c>
      <c r="N23" s="11">
        <f t="shared" si="3"/>
        <v>22.25</v>
      </c>
      <c r="O23" s="12">
        <f t="shared" si="4"/>
        <v>18.989999999999998</v>
      </c>
      <c r="P23" s="11">
        <f t="shared" si="5"/>
        <v>3.9399999999999977</v>
      </c>
      <c r="Q23" s="12">
        <f t="shared" si="6"/>
        <v>3.2800000000000011</v>
      </c>
      <c r="R23" s="11">
        <f t="shared" si="0"/>
        <v>17.707865168539318</v>
      </c>
      <c r="S23" s="12">
        <f t="shared" si="0"/>
        <v>17.272248551869414</v>
      </c>
      <c r="T23" s="12">
        <f t="shared" si="7"/>
        <v>17.490056860204366</v>
      </c>
      <c r="U23" s="7">
        <f t="shared" si="8"/>
        <v>17.707865168539318</v>
      </c>
      <c r="V23" s="30">
        <f t="shared" si="8"/>
        <v>17.272248551869414</v>
      </c>
      <c r="W23" s="11">
        <f>(U23/'Constantes e Funções Auxiliares'!$J$21)*'Constantes e Funções Auxiliares'!$I$21</f>
        <v>32.491495722090491</v>
      </c>
      <c r="X23" s="35">
        <f>(V23/'Constantes e Funções Auxiliares'!$J$21)*'Constantes e Funções Auxiliares'!$I$21</f>
        <v>31.69219917774204</v>
      </c>
      <c r="Y23" s="38">
        <f t="shared" si="9"/>
        <v>32.091847449916266</v>
      </c>
    </row>
    <row r="24" spans="1:25" ht="14.95" thickBot="1" x14ac:dyDescent="0.3">
      <c r="A24" s="17" t="s">
        <v>21</v>
      </c>
      <c r="B24" s="17" t="s">
        <v>73</v>
      </c>
      <c r="C24" s="101">
        <v>20</v>
      </c>
      <c r="D24" s="91">
        <v>1</v>
      </c>
      <c r="E24" s="2">
        <v>5</v>
      </c>
      <c r="F24" s="7">
        <v>21.11</v>
      </c>
      <c r="G24" s="8">
        <v>8.9499999999999993</v>
      </c>
      <c r="H24" s="7">
        <v>44.72</v>
      </c>
      <c r="I24" s="8">
        <v>26.53</v>
      </c>
      <c r="J24" s="7">
        <f t="shared" si="1"/>
        <v>23.61</v>
      </c>
      <c r="K24" s="8">
        <f t="shared" si="2"/>
        <v>17.580000000000002</v>
      </c>
      <c r="L24" s="7">
        <v>39.61</v>
      </c>
      <c r="M24" s="8">
        <v>22.63</v>
      </c>
      <c r="N24" s="7">
        <f t="shared" si="3"/>
        <v>18.5</v>
      </c>
      <c r="O24" s="8">
        <f t="shared" si="4"/>
        <v>13.68</v>
      </c>
      <c r="P24" s="7">
        <f t="shared" si="5"/>
        <v>5.1099999999999994</v>
      </c>
      <c r="Q24" s="8">
        <f t="shared" si="6"/>
        <v>3.9000000000000021</v>
      </c>
      <c r="R24" s="7">
        <f t="shared" si="0"/>
        <v>27.621621621621617</v>
      </c>
      <c r="S24" s="8">
        <f t="shared" si="0"/>
        <v>28.508771929824579</v>
      </c>
      <c r="T24" s="8">
        <f t="shared" si="7"/>
        <v>28.065196775723098</v>
      </c>
      <c r="U24" s="7">
        <f t="shared" si="8"/>
        <v>27.621621621621617</v>
      </c>
      <c r="V24" s="30">
        <f t="shared" si="8"/>
        <v>28.508771929824579</v>
      </c>
      <c r="W24" s="7">
        <f>(U24/'Constantes e Funções Auxiliares'!$J$21)*'Constantes e Funções Auxiliares'!$I$21</f>
        <v>50.681874535085534</v>
      </c>
      <c r="X24" s="33">
        <f>(V24/'Constantes e Funções Auxiliares'!$J$21)*'Constantes e Funções Auxiliares'!$I$21</f>
        <v>52.309673265733167</v>
      </c>
      <c r="Y24" s="30">
        <f t="shared" si="9"/>
        <v>51.495773900409347</v>
      </c>
    </row>
    <row r="25" spans="1:25" ht="14.95" thickBot="1" x14ac:dyDescent="0.3">
      <c r="A25" s="17" t="s">
        <v>22</v>
      </c>
      <c r="B25" s="19" t="s">
        <v>74</v>
      </c>
      <c r="C25" s="102"/>
      <c r="D25" s="92"/>
      <c r="E25" s="3">
        <v>15</v>
      </c>
      <c r="F25" s="9">
        <v>10.51</v>
      </c>
      <c r="G25" s="10">
        <v>4.57</v>
      </c>
      <c r="H25" s="9">
        <v>36.32</v>
      </c>
      <c r="I25" s="10">
        <v>23.71</v>
      </c>
      <c r="J25" s="9">
        <f t="shared" si="1"/>
        <v>25.810000000000002</v>
      </c>
      <c r="K25" s="10">
        <f t="shared" si="2"/>
        <v>19.14</v>
      </c>
      <c r="L25" s="9">
        <v>32.25</v>
      </c>
      <c r="M25" s="10">
        <v>20.84</v>
      </c>
      <c r="N25" s="9">
        <f t="shared" si="3"/>
        <v>21.740000000000002</v>
      </c>
      <c r="O25" s="10">
        <f t="shared" si="4"/>
        <v>16.27</v>
      </c>
      <c r="P25" s="9">
        <f t="shared" si="5"/>
        <v>4.07</v>
      </c>
      <c r="Q25" s="10">
        <f t="shared" si="6"/>
        <v>2.870000000000001</v>
      </c>
      <c r="R25" s="9">
        <f t="shared" si="0"/>
        <v>18.721251149954004</v>
      </c>
      <c r="S25" s="10">
        <f t="shared" si="0"/>
        <v>17.639827904118015</v>
      </c>
      <c r="T25" s="10">
        <f t="shared" si="7"/>
        <v>18.180539527036011</v>
      </c>
      <c r="U25" s="7">
        <f t="shared" si="8"/>
        <v>18.721251149954004</v>
      </c>
      <c r="V25" s="30">
        <f t="shared" si="8"/>
        <v>17.639827904118015</v>
      </c>
      <c r="W25" s="9">
        <f>(U25/'Constantes e Funções Auxiliares'!$J$21)*'Constantes e Funções Auxiliares'!$I$21</f>
        <v>34.350919541200007</v>
      </c>
      <c r="X25" s="34">
        <f>(V25/'Constantes e Funções Auxiliares'!$J$21)*'Constantes e Funções Auxiliares'!$I$21</f>
        <v>32.366656704803695</v>
      </c>
      <c r="Y25" s="37">
        <f t="shared" si="9"/>
        <v>33.358788123001851</v>
      </c>
    </row>
    <row r="26" spans="1:25" ht="14.95" thickBot="1" x14ac:dyDescent="0.3">
      <c r="A26" s="17" t="s">
        <v>23</v>
      </c>
      <c r="B26" s="19" t="s">
        <v>75</v>
      </c>
      <c r="C26" s="102"/>
      <c r="D26" s="93"/>
      <c r="E26" s="4">
        <v>30</v>
      </c>
      <c r="F26" s="11">
        <v>10.52</v>
      </c>
      <c r="G26" s="12">
        <v>9.09</v>
      </c>
      <c r="H26" s="11">
        <v>37.68</v>
      </c>
      <c r="I26" s="12">
        <v>28.99</v>
      </c>
      <c r="J26" s="11">
        <f t="shared" si="1"/>
        <v>27.16</v>
      </c>
      <c r="K26" s="12">
        <f t="shared" si="2"/>
        <v>19.899999999999999</v>
      </c>
      <c r="L26" s="11">
        <v>33.83</v>
      </c>
      <c r="M26" s="12">
        <v>26.21</v>
      </c>
      <c r="N26" s="11">
        <f t="shared" si="3"/>
        <v>23.31</v>
      </c>
      <c r="O26" s="12">
        <f t="shared" si="4"/>
        <v>17.12</v>
      </c>
      <c r="P26" s="11">
        <f t="shared" si="5"/>
        <v>3.8500000000000014</v>
      </c>
      <c r="Q26" s="12">
        <f t="shared" si="6"/>
        <v>2.7799999999999976</v>
      </c>
      <c r="R26" s="11">
        <f t="shared" si="0"/>
        <v>16.516516516516525</v>
      </c>
      <c r="S26" s="12">
        <f t="shared" si="0"/>
        <v>16.23831775700933</v>
      </c>
      <c r="T26" s="12">
        <f t="shared" si="7"/>
        <v>16.377417136762929</v>
      </c>
      <c r="U26" s="7">
        <f t="shared" si="8"/>
        <v>16.516516516516525</v>
      </c>
      <c r="V26" s="30">
        <f t="shared" si="8"/>
        <v>16.23831775700933</v>
      </c>
      <c r="W26" s="11">
        <f>(U26/'Constantes e Funções Auxiliares'!$J$21)*'Constantes e Funções Auxiliares'!$I$21</f>
        <v>30.305534892690869</v>
      </c>
      <c r="X26" s="35">
        <f>(V26/'Constantes e Funções Auxiliares'!$J$21)*'Constantes e Funções Auxiliares'!$I$21</f>
        <v>29.795078453228125</v>
      </c>
      <c r="Y26" s="38">
        <f t="shared" si="9"/>
        <v>30.050306672959497</v>
      </c>
    </row>
    <row r="27" spans="1:25" ht="14.95" thickBot="1" x14ac:dyDescent="0.3">
      <c r="A27" s="17" t="s">
        <v>24</v>
      </c>
      <c r="B27" s="17" t="s">
        <v>76</v>
      </c>
      <c r="C27" s="102"/>
      <c r="D27" s="91">
        <v>2</v>
      </c>
      <c r="E27" s="2">
        <v>5</v>
      </c>
      <c r="F27" s="7">
        <v>10.9</v>
      </c>
      <c r="G27" s="8">
        <v>4.2300000000000004</v>
      </c>
      <c r="H27" s="7">
        <v>38.659999999999997</v>
      </c>
      <c r="I27" s="8">
        <v>23.43</v>
      </c>
      <c r="J27" s="7">
        <f t="shared" si="1"/>
        <v>27.759999999999998</v>
      </c>
      <c r="K27" s="8">
        <f t="shared" si="2"/>
        <v>19.2</v>
      </c>
      <c r="L27" s="7">
        <v>32.32</v>
      </c>
      <c r="M27" s="8">
        <v>19.14</v>
      </c>
      <c r="N27" s="7">
        <f t="shared" si="3"/>
        <v>21.42</v>
      </c>
      <c r="O27" s="8">
        <f t="shared" si="4"/>
        <v>14.91</v>
      </c>
      <c r="P27" s="7">
        <f t="shared" si="5"/>
        <v>6.3399999999999963</v>
      </c>
      <c r="Q27" s="8">
        <f t="shared" si="6"/>
        <v>4.2899999999999991</v>
      </c>
      <c r="R27" s="7">
        <f t="shared" si="0"/>
        <v>29.598506069094281</v>
      </c>
      <c r="S27" s="8">
        <f t="shared" si="0"/>
        <v>28.77263581488933</v>
      </c>
      <c r="T27" s="8">
        <f t="shared" si="7"/>
        <v>29.185570941991806</v>
      </c>
      <c r="U27" s="7">
        <f t="shared" si="8"/>
        <v>29.598506069094281</v>
      </c>
      <c r="V27" s="30">
        <f t="shared" si="8"/>
        <v>28.77263581488933</v>
      </c>
      <c r="W27" s="7">
        <f>(U27/'Constantes e Funções Auxiliares'!$J$21)*'Constantes e Funções Auxiliares'!$I$21</f>
        <v>54.309185447879408</v>
      </c>
      <c r="X27" s="33">
        <f>(V27/'Constantes e Funções Auxiliares'!$J$21)*'Constantes e Funções Auxiliares'!$I$21</f>
        <v>52.79382718328317</v>
      </c>
      <c r="Y27" s="30">
        <f t="shared" si="9"/>
        <v>53.551506315581292</v>
      </c>
    </row>
    <row r="28" spans="1:25" ht="14.95" thickBot="1" x14ac:dyDescent="0.3">
      <c r="A28" s="17" t="s">
        <v>25</v>
      </c>
      <c r="B28" s="17" t="s">
        <v>77</v>
      </c>
      <c r="C28" s="102"/>
      <c r="D28" s="92"/>
      <c r="E28" s="3">
        <v>15</v>
      </c>
      <c r="F28" s="9">
        <v>20.25</v>
      </c>
      <c r="G28" s="10">
        <v>20.74</v>
      </c>
      <c r="H28" s="9">
        <v>47.31</v>
      </c>
      <c r="I28" s="10">
        <v>44.87</v>
      </c>
      <c r="J28" s="9">
        <f t="shared" si="1"/>
        <v>27.060000000000002</v>
      </c>
      <c r="K28" s="10">
        <f t="shared" si="2"/>
        <v>24.13</v>
      </c>
      <c r="L28" s="9">
        <v>40.630000000000003</v>
      </c>
      <c r="M28" s="10">
        <v>42.82</v>
      </c>
      <c r="N28" s="9">
        <f t="shared" si="3"/>
        <v>20.380000000000003</v>
      </c>
      <c r="O28" s="10">
        <f t="shared" si="4"/>
        <v>22.080000000000002</v>
      </c>
      <c r="P28" s="9">
        <f t="shared" si="5"/>
        <v>6.68</v>
      </c>
      <c r="Q28" s="10">
        <f t="shared" si="6"/>
        <v>2.0499999999999972</v>
      </c>
      <c r="R28" s="9">
        <f t="shared" si="0"/>
        <v>32.777232580961723</v>
      </c>
      <c r="S28" s="10">
        <f t="shared" si="0"/>
        <v>9.2844202898550581</v>
      </c>
      <c r="T28" s="10">
        <f t="shared" si="7"/>
        <v>21.03082643540839</v>
      </c>
      <c r="U28" s="7">
        <f t="shared" si="8"/>
        <v>32.777232580961723</v>
      </c>
      <c r="V28" s="30">
        <f t="shared" si="8"/>
        <v>9.2844202898550581</v>
      </c>
      <c r="W28" s="9">
        <f>(U28/'Constantes e Funções Auxiliares'!$J$21)*'Constantes e Funções Auxiliares'!$I$21</f>
        <v>60.141711157727926</v>
      </c>
      <c r="X28" s="34">
        <f>(V28/'Constantes e Funções Auxiliares'!$J$21)*'Constantes e Funções Auxiliares'!$I$21</f>
        <v>17.035633559367078</v>
      </c>
      <c r="Y28" s="37">
        <f t="shared" si="9"/>
        <v>38.588672358547498</v>
      </c>
    </row>
    <row r="29" spans="1:25" ht="14.95" thickBot="1" x14ac:dyDescent="0.3">
      <c r="A29" s="17" t="s">
        <v>26</v>
      </c>
      <c r="B29" s="17" t="s">
        <v>78</v>
      </c>
      <c r="C29" s="102"/>
      <c r="D29" s="93"/>
      <c r="E29" s="4">
        <v>30</v>
      </c>
      <c r="F29" s="11">
        <v>20.74</v>
      </c>
      <c r="G29" s="12">
        <v>9.2899999999999991</v>
      </c>
      <c r="H29" s="11">
        <v>47.28</v>
      </c>
      <c r="I29" s="12">
        <v>36.49</v>
      </c>
      <c r="J29" s="11">
        <f t="shared" si="1"/>
        <v>26.540000000000003</v>
      </c>
      <c r="K29" s="12">
        <f t="shared" si="2"/>
        <v>27.200000000000003</v>
      </c>
      <c r="L29" s="11">
        <v>42.62</v>
      </c>
      <c r="M29" s="12">
        <v>30.97</v>
      </c>
      <c r="N29" s="11">
        <f t="shared" si="3"/>
        <v>21.88</v>
      </c>
      <c r="O29" s="12">
        <f t="shared" si="4"/>
        <v>21.68</v>
      </c>
      <c r="P29" s="11">
        <f t="shared" si="5"/>
        <v>4.6600000000000037</v>
      </c>
      <c r="Q29" s="12">
        <f t="shared" si="6"/>
        <v>5.5200000000000031</v>
      </c>
      <c r="R29" s="11">
        <f t="shared" si="0"/>
        <v>21.297989031078629</v>
      </c>
      <c r="S29" s="12">
        <f t="shared" si="0"/>
        <v>25.461254612546142</v>
      </c>
      <c r="T29" s="12">
        <f t="shared" si="7"/>
        <v>23.379621821812385</v>
      </c>
      <c r="U29" s="7">
        <f t="shared" si="8"/>
        <v>21.297989031078629</v>
      </c>
      <c r="V29" s="30">
        <f t="shared" si="8"/>
        <v>25.461254612546142</v>
      </c>
      <c r="W29" s="11">
        <f>(U29/'Constantes e Funções Auxiliares'!$J$21)*'Constantes e Funções Auxiliares'!$I$21</f>
        <v>39.078878956107573</v>
      </c>
      <c r="X29" s="35">
        <f>(V29/'Constantes e Funções Auxiliares'!$J$21)*'Constantes e Funções Auxiliares'!$I$21</f>
        <v>46.717898371644296</v>
      </c>
      <c r="Y29" s="38">
        <f t="shared" si="9"/>
        <v>42.898388663875934</v>
      </c>
    </row>
    <row r="30" spans="1:25" ht="14.95" thickBot="1" x14ac:dyDescent="0.3">
      <c r="A30" s="17" t="s">
        <v>27</v>
      </c>
      <c r="B30" s="17" t="s">
        <v>79</v>
      </c>
      <c r="C30" s="102"/>
      <c r="D30" s="91">
        <v>3</v>
      </c>
      <c r="E30" s="2">
        <v>5</v>
      </c>
      <c r="F30" s="7">
        <v>21.01</v>
      </c>
      <c r="G30" s="8">
        <v>8.89</v>
      </c>
      <c r="H30" s="7">
        <v>45.42</v>
      </c>
      <c r="I30" s="8">
        <v>34.729999999999997</v>
      </c>
      <c r="J30" s="7">
        <f t="shared" si="1"/>
        <v>24.41</v>
      </c>
      <c r="K30" s="8">
        <f t="shared" si="2"/>
        <v>25.839999999999996</v>
      </c>
      <c r="L30" s="7">
        <v>40.01</v>
      </c>
      <c r="M30" s="8">
        <v>29.06</v>
      </c>
      <c r="N30" s="7">
        <f t="shared" si="3"/>
        <v>18.999999999999996</v>
      </c>
      <c r="O30" s="8">
        <f t="shared" si="4"/>
        <v>20.169999999999998</v>
      </c>
      <c r="P30" s="7">
        <f t="shared" si="5"/>
        <v>5.4100000000000037</v>
      </c>
      <c r="Q30" s="8">
        <f t="shared" si="6"/>
        <v>5.6699999999999982</v>
      </c>
      <c r="R30" s="7">
        <f t="shared" si="0"/>
        <v>28.47368421052634</v>
      </c>
      <c r="S30" s="8">
        <f t="shared" si="0"/>
        <v>28.111056023797715</v>
      </c>
      <c r="T30" s="8">
        <f t="shared" si="7"/>
        <v>28.292370117162029</v>
      </c>
      <c r="U30" s="7">
        <f t="shared" si="8"/>
        <v>28.47368421052634</v>
      </c>
      <c r="V30" s="30">
        <f t="shared" si="8"/>
        <v>28.111056023797715</v>
      </c>
      <c r="W30" s="7">
        <f>(U30/'Constantes e Funções Auxiliares'!$J$21)*'Constantes e Funções Auxiliares'!$I$21</f>
        <v>52.245292129406124</v>
      </c>
      <c r="X30" s="33">
        <f>(V30/'Constantes e Funções Auxiliares'!$J$21)*'Constantes e Funções Auxiliares'!$I$21</f>
        <v>51.579919309720573</v>
      </c>
      <c r="Y30" s="30">
        <f t="shared" si="9"/>
        <v>51.912605719563345</v>
      </c>
    </row>
    <row r="31" spans="1:25" ht="14.95" thickBot="1" x14ac:dyDescent="0.3">
      <c r="A31" s="17" t="s">
        <v>28</v>
      </c>
      <c r="B31" s="17" t="s">
        <v>80</v>
      </c>
      <c r="C31" s="102"/>
      <c r="D31" s="92"/>
      <c r="E31" s="3">
        <v>15</v>
      </c>
      <c r="F31" s="9">
        <v>20.48</v>
      </c>
      <c r="G31" s="10">
        <v>11.25</v>
      </c>
      <c r="H31" s="9">
        <v>45.1</v>
      </c>
      <c r="I31" s="10">
        <v>36.81</v>
      </c>
      <c r="J31" s="9">
        <f t="shared" si="1"/>
        <v>24.62</v>
      </c>
      <c r="K31" s="10">
        <f t="shared" si="2"/>
        <v>25.560000000000002</v>
      </c>
      <c r="L31" s="9">
        <v>40.79</v>
      </c>
      <c r="M31" s="10">
        <v>32.380000000000003</v>
      </c>
      <c r="N31" s="9">
        <f t="shared" si="3"/>
        <v>20.309999999999999</v>
      </c>
      <c r="O31" s="10">
        <f t="shared" si="4"/>
        <v>21.130000000000003</v>
      </c>
      <c r="P31" s="9">
        <f t="shared" si="5"/>
        <v>4.3100000000000023</v>
      </c>
      <c r="Q31" s="10">
        <f t="shared" si="6"/>
        <v>4.43</v>
      </c>
      <c r="R31" s="9">
        <f t="shared" si="0"/>
        <v>21.221073362875444</v>
      </c>
      <c r="S31" s="10">
        <f t="shared" si="0"/>
        <v>20.965451964032177</v>
      </c>
      <c r="T31" s="10">
        <f t="shared" si="7"/>
        <v>21.09326266345381</v>
      </c>
      <c r="U31" s="7">
        <f t="shared" si="8"/>
        <v>21.221073362875444</v>
      </c>
      <c r="V31" s="30">
        <f t="shared" si="8"/>
        <v>20.965451964032177</v>
      </c>
      <c r="W31" s="9">
        <f>(U31/'Constantes e Funções Auxiliares'!$J$21)*'Constantes e Funções Auxiliares'!$I$21</f>
        <v>38.937749289679708</v>
      </c>
      <c r="X31" s="34">
        <f>(V31/'Constantes e Funções Auxiliares'!$J$21)*'Constantes e Funções Auxiliares'!$I$21</f>
        <v>38.468719200059034</v>
      </c>
      <c r="Y31" s="37">
        <f t="shared" si="9"/>
        <v>38.703234244869371</v>
      </c>
    </row>
    <row r="32" spans="1:25" ht="14.95" thickBot="1" x14ac:dyDescent="0.3">
      <c r="A32" s="17" t="s">
        <v>29</v>
      </c>
      <c r="B32" s="17">
        <v>1</v>
      </c>
      <c r="C32" s="102"/>
      <c r="D32" s="93"/>
      <c r="E32" s="4">
        <v>30</v>
      </c>
      <c r="F32" s="11">
        <v>11.16</v>
      </c>
      <c r="G32" s="12">
        <v>11.25</v>
      </c>
      <c r="H32" s="11">
        <v>32.159999999999997</v>
      </c>
      <c r="I32" s="12">
        <v>36.130000000000003</v>
      </c>
      <c r="J32" s="11">
        <f t="shared" si="1"/>
        <v>20.999999999999996</v>
      </c>
      <c r="K32" s="12">
        <f t="shared" si="2"/>
        <v>24.880000000000003</v>
      </c>
      <c r="L32" s="11">
        <v>28.68</v>
      </c>
      <c r="M32" s="12">
        <v>31.86</v>
      </c>
      <c r="N32" s="11">
        <f t="shared" si="3"/>
        <v>17.52</v>
      </c>
      <c r="O32" s="12">
        <f t="shared" si="4"/>
        <v>20.61</v>
      </c>
      <c r="P32" s="11">
        <f t="shared" si="5"/>
        <v>3.4799999999999969</v>
      </c>
      <c r="Q32" s="12">
        <f t="shared" si="6"/>
        <v>4.2700000000000031</v>
      </c>
      <c r="R32" s="11">
        <f t="shared" si="0"/>
        <v>19.86301369863012</v>
      </c>
      <c r="S32" s="12">
        <f t="shared" si="0"/>
        <v>20.718098010674446</v>
      </c>
      <c r="T32" s="12">
        <f t="shared" si="7"/>
        <v>20.290555854652283</v>
      </c>
      <c r="U32" s="7">
        <f t="shared" si="8"/>
        <v>19.86301369863012</v>
      </c>
      <c r="V32" s="30">
        <f t="shared" si="8"/>
        <v>20.718098010674446</v>
      </c>
      <c r="W32" s="11">
        <f>(U32/'Constantes e Funções Auxiliares'!$J$21)*'Constantes e Funções Auxiliares'!$I$21</f>
        <v>36.445896694734159</v>
      </c>
      <c r="X32" s="35">
        <f>(V32/'Constantes e Funções Auxiliares'!$J$21)*'Constantes e Funções Auxiliares'!$I$21</f>
        <v>38.014858735182464</v>
      </c>
      <c r="Y32" s="38">
        <f t="shared" si="9"/>
        <v>37.230377714958308</v>
      </c>
    </row>
    <row r="33" spans="1:25" ht="14.95" thickBot="1" x14ac:dyDescent="0.3">
      <c r="A33" s="17" t="s">
        <v>30</v>
      </c>
      <c r="B33" s="17">
        <v>2</v>
      </c>
      <c r="C33" s="102"/>
      <c r="D33" s="91">
        <v>4</v>
      </c>
      <c r="E33" s="2">
        <v>5</v>
      </c>
      <c r="F33" s="7">
        <v>11.07</v>
      </c>
      <c r="G33" s="8">
        <v>8.77</v>
      </c>
      <c r="H33" s="7">
        <v>34.82</v>
      </c>
      <c r="I33" s="8">
        <v>34.14</v>
      </c>
      <c r="J33" s="7">
        <f t="shared" si="1"/>
        <v>23.75</v>
      </c>
      <c r="K33" s="8">
        <f t="shared" si="2"/>
        <v>25.37</v>
      </c>
      <c r="L33" s="7">
        <v>29.49</v>
      </c>
      <c r="M33" s="8">
        <v>28.4</v>
      </c>
      <c r="N33" s="7">
        <f t="shared" si="3"/>
        <v>18.419999999999998</v>
      </c>
      <c r="O33" s="8">
        <f t="shared" si="4"/>
        <v>19.63</v>
      </c>
      <c r="P33" s="7">
        <f t="shared" si="5"/>
        <v>5.3300000000000018</v>
      </c>
      <c r="Q33" s="8">
        <f t="shared" si="6"/>
        <v>5.740000000000002</v>
      </c>
      <c r="R33" s="7">
        <f t="shared" si="0"/>
        <v>28.935939196525528</v>
      </c>
      <c r="S33" s="8">
        <f t="shared" si="0"/>
        <v>29.240957717778919</v>
      </c>
      <c r="T33" s="8">
        <f t="shared" si="7"/>
        <v>29.088448457152225</v>
      </c>
      <c r="U33" s="7">
        <f t="shared" si="8"/>
        <v>28.935939196525528</v>
      </c>
      <c r="V33" s="30">
        <f t="shared" si="8"/>
        <v>29.240957717778919</v>
      </c>
      <c r="W33" s="7">
        <f>(U33/'Constantes e Funções Auxiliares'!$J$21)*'Constantes e Funções Auxiliares'!$I$21</f>
        <v>53.093466415643164</v>
      </c>
      <c r="X33" s="33">
        <f>(V33/'Constantes e Funções Auxiliares'!$J$21)*'Constantes e Funções Auxiliares'!$I$21</f>
        <v>53.653133427117275</v>
      </c>
      <c r="Y33" s="30">
        <f t="shared" si="9"/>
        <v>53.373299921380223</v>
      </c>
    </row>
    <row r="34" spans="1:25" ht="14.95" thickBot="1" x14ac:dyDescent="0.3">
      <c r="A34" s="17" t="s">
        <v>31</v>
      </c>
      <c r="B34" s="17">
        <v>3</v>
      </c>
      <c r="C34" s="102"/>
      <c r="D34" s="92"/>
      <c r="E34" s="3">
        <v>15</v>
      </c>
      <c r="F34" s="9">
        <v>11.03</v>
      </c>
      <c r="G34" s="10">
        <v>11.16</v>
      </c>
      <c r="H34" s="9">
        <v>35.340000000000003</v>
      </c>
      <c r="I34" s="10">
        <v>34.94</v>
      </c>
      <c r="J34" s="9">
        <f t="shared" si="1"/>
        <v>24.310000000000002</v>
      </c>
      <c r="K34" s="10">
        <f t="shared" si="2"/>
        <v>23.779999999999998</v>
      </c>
      <c r="L34" s="9">
        <v>29.94</v>
      </c>
      <c r="M34" s="10">
        <v>29.34</v>
      </c>
      <c r="N34" s="9">
        <f t="shared" si="3"/>
        <v>18.910000000000004</v>
      </c>
      <c r="O34" s="10">
        <f t="shared" si="4"/>
        <v>18.18</v>
      </c>
      <c r="P34" s="9">
        <f t="shared" si="5"/>
        <v>5.3999999999999986</v>
      </c>
      <c r="Q34" s="10">
        <f t="shared" si="6"/>
        <v>5.5999999999999979</v>
      </c>
      <c r="R34" s="9">
        <f t="shared" si="0"/>
        <v>28.556319407720771</v>
      </c>
      <c r="S34" s="10">
        <f t="shared" si="0"/>
        <v>30.80308030803079</v>
      </c>
      <c r="T34" s="10">
        <f t="shared" si="7"/>
        <v>29.679699857875782</v>
      </c>
      <c r="U34" s="7">
        <f t="shared" si="8"/>
        <v>28.556319407720771</v>
      </c>
      <c r="V34" s="30">
        <f t="shared" si="8"/>
        <v>30.80308030803079</v>
      </c>
      <c r="W34" s="9">
        <f>(U34/'Constantes e Funções Auxiliares'!$J$21)*'Constantes e Funções Auxiliares'!$I$21</f>
        <v>52.396916344441777</v>
      </c>
      <c r="X34" s="34">
        <f>(V34/'Constantes e Funções Auxiliares'!$J$21)*'Constantes e Funções Auxiliares'!$I$21</f>
        <v>56.5194134092308</v>
      </c>
      <c r="Y34" s="37">
        <f t="shared" si="9"/>
        <v>54.458164876836292</v>
      </c>
    </row>
    <row r="35" spans="1:25" ht="14.95" thickBot="1" x14ac:dyDescent="0.3">
      <c r="A35" s="17" t="s">
        <v>32</v>
      </c>
      <c r="B35" s="17">
        <v>4</v>
      </c>
      <c r="C35" s="102"/>
      <c r="D35" s="93"/>
      <c r="E35" s="4">
        <v>30</v>
      </c>
      <c r="F35" s="11">
        <v>11.13</v>
      </c>
      <c r="G35" s="12">
        <v>11.26</v>
      </c>
      <c r="H35" s="11">
        <v>35.54</v>
      </c>
      <c r="I35" s="12">
        <v>37.51</v>
      </c>
      <c r="J35" s="11">
        <f t="shared" si="1"/>
        <v>24.409999999999997</v>
      </c>
      <c r="K35" s="12">
        <f t="shared" si="2"/>
        <v>26.25</v>
      </c>
      <c r="L35" s="11">
        <v>31.42</v>
      </c>
      <c r="M35" s="12">
        <v>33.200000000000003</v>
      </c>
      <c r="N35" s="11">
        <f t="shared" si="3"/>
        <v>20.29</v>
      </c>
      <c r="O35" s="12">
        <f t="shared" si="4"/>
        <v>21.940000000000005</v>
      </c>
      <c r="P35" s="11">
        <f t="shared" si="5"/>
        <v>4.1199999999999974</v>
      </c>
      <c r="Q35" s="12">
        <f t="shared" si="6"/>
        <v>4.3099999999999952</v>
      </c>
      <c r="R35" s="11">
        <f t="shared" si="0"/>
        <v>20.305569245933945</v>
      </c>
      <c r="S35" s="12">
        <f t="shared" si="0"/>
        <v>19.644484958979007</v>
      </c>
      <c r="T35" s="12">
        <f t="shared" si="7"/>
        <v>19.975027102456476</v>
      </c>
      <c r="U35" s="7">
        <f t="shared" si="8"/>
        <v>20.305569245933945</v>
      </c>
      <c r="V35" s="30">
        <f t="shared" si="8"/>
        <v>19.644484958979007</v>
      </c>
      <c r="W35" s="11">
        <f>(U35/'Constantes e Funções Auxiliares'!$J$21)*'Constantes e Funções Auxiliares'!$I$21</f>
        <v>37.257925221897146</v>
      </c>
      <c r="X35" s="35">
        <f>(V35/'Constantes e Funções Auxiliares'!$J$21)*'Constantes e Funções Auxiliares'!$I$21</f>
        <v>36.044926530236708</v>
      </c>
      <c r="Y35" s="38">
        <f t="shared" si="9"/>
        <v>36.651425876066924</v>
      </c>
    </row>
    <row r="36" spans="1:25" ht="14.95" thickBot="1" x14ac:dyDescent="0.3">
      <c r="A36" s="17" t="s">
        <v>33</v>
      </c>
      <c r="B36" s="17">
        <v>5</v>
      </c>
      <c r="C36" s="102"/>
      <c r="D36" s="91">
        <v>5</v>
      </c>
      <c r="E36" s="2">
        <v>5</v>
      </c>
      <c r="F36" s="7">
        <v>11.13</v>
      </c>
      <c r="G36" s="8">
        <v>10.220000000000001</v>
      </c>
      <c r="H36" s="7">
        <v>34.549999999999997</v>
      </c>
      <c r="I36" s="8">
        <v>35.72</v>
      </c>
      <c r="J36" s="7">
        <f t="shared" si="1"/>
        <v>23.419999999999995</v>
      </c>
      <c r="K36" s="8">
        <f t="shared" si="2"/>
        <v>25.5</v>
      </c>
      <c r="L36" s="7">
        <v>28.36</v>
      </c>
      <c r="M36" s="8">
        <v>29.09</v>
      </c>
      <c r="N36" s="7">
        <f t="shared" si="3"/>
        <v>17.229999999999997</v>
      </c>
      <c r="O36" s="8">
        <f t="shared" si="4"/>
        <v>18.869999999999997</v>
      </c>
      <c r="P36" s="7">
        <f t="shared" si="5"/>
        <v>6.1899999999999977</v>
      </c>
      <c r="Q36" s="8">
        <f t="shared" si="6"/>
        <v>6.6300000000000026</v>
      </c>
      <c r="R36" s="7">
        <f t="shared" si="0"/>
        <v>35.925710969239695</v>
      </c>
      <c r="S36" s="8">
        <f t="shared" si="0"/>
        <v>35.135135135135151</v>
      </c>
      <c r="T36" s="8">
        <f t="shared" si="7"/>
        <v>35.530423052187423</v>
      </c>
      <c r="U36" s="7">
        <f t="shared" si="8"/>
        <v>35.925710969239695</v>
      </c>
      <c r="V36" s="30">
        <f t="shared" si="8"/>
        <v>35.135135135135151</v>
      </c>
      <c r="W36" s="7">
        <f>(U36/'Constantes e Funções Auxiliares'!$J$21)*'Constantes e Funções Auxiliares'!$I$21</f>
        <v>65.918735723375576</v>
      </c>
      <c r="X36" s="33">
        <f>(V36/'Constantes e Funções Auxiliares'!$J$21)*'Constantes e Funções Auxiliares'!$I$21</f>
        <v>64.468137862633299</v>
      </c>
      <c r="Y36" s="30">
        <f t="shared" si="9"/>
        <v>65.193436793004437</v>
      </c>
    </row>
    <row r="37" spans="1:25" ht="14.95" thickBot="1" x14ac:dyDescent="0.3">
      <c r="A37" s="17" t="s">
        <v>34</v>
      </c>
      <c r="B37" s="17">
        <v>6</v>
      </c>
      <c r="C37" s="102"/>
      <c r="D37" s="92"/>
      <c r="E37" s="3">
        <v>15</v>
      </c>
      <c r="F37" s="9">
        <v>10.55</v>
      </c>
      <c r="G37" s="10">
        <v>20.96</v>
      </c>
      <c r="H37" s="9">
        <v>36.5</v>
      </c>
      <c r="I37" s="10">
        <v>45.05</v>
      </c>
      <c r="J37" s="9">
        <f t="shared" si="1"/>
        <v>25.95</v>
      </c>
      <c r="K37" s="10">
        <f t="shared" si="2"/>
        <v>24.089999999999996</v>
      </c>
      <c r="L37" s="9">
        <v>31.39</v>
      </c>
      <c r="M37" s="10">
        <v>40.409999999999997</v>
      </c>
      <c r="N37" s="9">
        <f t="shared" si="3"/>
        <v>20.84</v>
      </c>
      <c r="O37" s="10">
        <f t="shared" si="4"/>
        <v>19.449999999999996</v>
      </c>
      <c r="P37" s="9">
        <f t="shared" si="5"/>
        <v>5.1099999999999994</v>
      </c>
      <c r="Q37" s="10">
        <f t="shared" si="6"/>
        <v>4.6400000000000006</v>
      </c>
      <c r="R37" s="9">
        <f t="shared" si="0"/>
        <v>24.520153550863721</v>
      </c>
      <c r="S37" s="10">
        <f t="shared" si="0"/>
        <v>23.856041131105407</v>
      </c>
      <c r="T37" s="10">
        <f t="shared" si="7"/>
        <v>24.188097340984562</v>
      </c>
      <c r="U37" s="7">
        <f t="shared" si="8"/>
        <v>24.520153550863721</v>
      </c>
      <c r="V37" s="30">
        <f t="shared" si="8"/>
        <v>23.856041131105407</v>
      </c>
      <c r="W37" s="9">
        <f>(U37/'Constantes e Funções Auxiliares'!$J$21)*'Constantes e Funções Auxiliares'!$I$21</f>
        <v>44.991107432777468</v>
      </c>
      <c r="X37" s="34">
        <f>(V37/'Constantes e Funções Auxiliares'!$J$21)*'Constantes e Funções Auxiliares'!$I$21</f>
        <v>43.772552534138356</v>
      </c>
      <c r="Y37" s="37">
        <f t="shared" si="9"/>
        <v>44.381829983457912</v>
      </c>
    </row>
    <row r="38" spans="1:25" ht="14.95" thickBot="1" x14ac:dyDescent="0.3">
      <c r="A38" s="17" t="s">
        <v>35</v>
      </c>
      <c r="B38" s="17">
        <v>7</v>
      </c>
      <c r="C38" s="103"/>
      <c r="D38" s="93"/>
      <c r="E38" s="4">
        <v>30</v>
      </c>
      <c r="F38" s="11">
        <v>10.96</v>
      </c>
      <c r="G38" s="12">
        <v>20.91</v>
      </c>
      <c r="H38" s="11">
        <v>34.07</v>
      </c>
      <c r="I38" s="12">
        <v>46.87</v>
      </c>
      <c r="J38" s="11">
        <f t="shared" si="1"/>
        <v>23.11</v>
      </c>
      <c r="K38" s="12">
        <f t="shared" si="2"/>
        <v>25.959999999999997</v>
      </c>
      <c r="L38" s="11">
        <v>29.42</v>
      </c>
      <c r="M38" s="12">
        <v>41.73</v>
      </c>
      <c r="N38" s="11">
        <f t="shared" si="3"/>
        <v>18.46</v>
      </c>
      <c r="O38" s="12">
        <f t="shared" si="4"/>
        <v>20.819999999999997</v>
      </c>
      <c r="P38" s="11">
        <f t="shared" si="5"/>
        <v>4.6499999999999986</v>
      </c>
      <c r="Q38" s="12">
        <f t="shared" si="6"/>
        <v>5.1400000000000006</v>
      </c>
      <c r="R38" s="11">
        <f t="shared" si="0"/>
        <v>25.189599133261098</v>
      </c>
      <c r="S38" s="12">
        <f t="shared" si="0"/>
        <v>24.687800192122968</v>
      </c>
      <c r="T38" s="12">
        <f t="shared" si="7"/>
        <v>24.938699662692031</v>
      </c>
      <c r="U38" s="7">
        <f t="shared" si="8"/>
        <v>25.189599133261098</v>
      </c>
      <c r="V38" s="30">
        <f t="shared" si="8"/>
        <v>24.687800192122968</v>
      </c>
      <c r="W38" s="11">
        <f>(U38/'Constantes e Funções Auxiliares'!$J$21)*'Constantes e Funções Auxiliares'!$I$21</f>
        <v>46.219447950937791</v>
      </c>
      <c r="X38" s="35">
        <f>(V38/'Constantes e Funções Auxiliares'!$J$21)*'Constantes e Funções Auxiliares'!$I$21</f>
        <v>45.298715948849477</v>
      </c>
      <c r="Y38" s="38">
        <f t="shared" si="9"/>
        <v>45.759081949893634</v>
      </c>
    </row>
    <row r="39" spans="1:25" ht="14.95" thickBot="1" x14ac:dyDescent="0.3">
      <c r="A39" s="17" t="s">
        <v>36</v>
      </c>
      <c r="B39" s="17">
        <v>8</v>
      </c>
      <c r="C39" s="101">
        <v>50</v>
      </c>
      <c r="D39" s="91">
        <v>1</v>
      </c>
      <c r="E39" s="2">
        <v>5</v>
      </c>
      <c r="F39" s="7">
        <v>8.81</v>
      </c>
      <c r="G39" s="8">
        <v>11.89</v>
      </c>
      <c r="H39" s="7">
        <v>33.840000000000003</v>
      </c>
      <c r="I39" s="8">
        <v>36.25</v>
      </c>
      <c r="J39" s="7">
        <f t="shared" si="1"/>
        <v>25.03</v>
      </c>
      <c r="K39" s="8">
        <f t="shared" si="2"/>
        <v>24.36</v>
      </c>
      <c r="L39" s="7">
        <v>27.21</v>
      </c>
      <c r="M39" s="8">
        <v>29.95</v>
      </c>
      <c r="N39" s="7">
        <f t="shared" si="3"/>
        <v>18.399999999999999</v>
      </c>
      <c r="O39" s="8">
        <f t="shared" si="4"/>
        <v>18.059999999999999</v>
      </c>
      <c r="P39" s="7">
        <f t="shared" si="5"/>
        <v>6.6300000000000026</v>
      </c>
      <c r="Q39" s="8">
        <f t="shared" si="6"/>
        <v>6.3000000000000007</v>
      </c>
      <c r="R39" s="7">
        <f t="shared" si="0"/>
        <v>36.032608695652193</v>
      </c>
      <c r="S39" s="8">
        <f t="shared" si="0"/>
        <v>34.883720930232563</v>
      </c>
      <c r="T39" s="8">
        <f t="shared" si="7"/>
        <v>35.458164812942378</v>
      </c>
      <c r="U39" s="7">
        <f t="shared" si="8"/>
        <v>36.032608695652193</v>
      </c>
      <c r="V39" s="30">
        <f t="shared" si="8"/>
        <v>34.883720930232563</v>
      </c>
      <c r="W39" s="7">
        <f>(U39/'Constantes e Funções Auxiliares'!$J$21)*'Constantes e Funções Auxiliares'!$I$21</f>
        <v>66.114878340646229</v>
      </c>
      <c r="X39" s="33">
        <f>(V39/'Constantes e Funções Auxiliares'!$J$21)*'Constantes e Funções Auxiliares'!$I$21</f>
        <v>64.006827394922126</v>
      </c>
      <c r="Y39" s="30">
        <f t="shared" si="9"/>
        <v>65.060852867784178</v>
      </c>
    </row>
    <row r="40" spans="1:25" ht="14.95" thickBot="1" x14ac:dyDescent="0.3">
      <c r="A40" s="17" t="s">
        <v>39</v>
      </c>
      <c r="B40" s="17">
        <v>9</v>
      </c>
      <c r="C40" s="102"/>
      <c r="D40" s="92"/>
      <c r="E40" s="3">
        <v>15</v>
      </c>
      <c r="F40" s="9">
        <v>23.68</v>
      </c>
      <c r="G40" s="10">
        <v>10.8</v>
      </c>
      <c r="H40" s="9">
        <v>48.24</v>
      </c>
      <c r="I40" s="10">
        <v>34.76</v>
      </c>
      <c r="J40" s="9">
        <f t="shared" si="1"/>
        <v>24.560000000000002</v>
      </c>
      <c r="K40" s="10">
        <f t="shared" si="2"/>
        <v>23.959999999999997</v>
      </c>
      <c r="L40" s="9">
        <v>43.64</v>
      </c>
      <c r="M40" s="10">
        <v>30.34</v>
      </c>
      <c r="N40" s="9">
        <f t="shared" si="3"/>
        <v>19.96</v>
      </c>
      <c r="O40" s="10">
        <f t="shared" si="4"/>
        <v>19.54</v>
      </c>
      <c r="P40" s="9">
        <f t="shared" si="5"/>
        <v>4.6000000000000014</v>
      </c>
      <c r="Q40" s="10">
        <f t="shared" si="6"/>
        <v>4.4199999999999982</v>
      </c>
      <c r="R40" s="9">
        <f t="shared" si="0"/>
        <v>23.046092184368742</v>
      </c>
      <c r="S40" s="10">
        <f t="shared" si="0"/>
        <v>22.620266120777881</v>
      </c>
      <c r="T40" s="10">
        <f t="shared" si="7"/>
        <v>22.833179152573312</v>
      </c>
      <c r="U40" s="7">
        <f t="shared" si="8"/>
        <v>23.046092184368742</v>
      </c>
      <c r="V40" s="30">
        <f t="shared" si="8"/>
        <v>22.620266120777881</v>
      </c>
      <c r="W40" s="9">
        <f>(U40/'Constantes e Funções Auxiliares'!$J$21)*'Constantes e Funções Auxiliares'!$I$21</f>
        <v>42.286407677740812</v>
      </c>
      <c r="X40" s="34">
        <f>(V40/'Constantes e Funções Auxiliares'!$J$21)*'Constantes e Funções Auxiliares'!$I$21</f>
        <v>41.505075450968583</v>
      </c>
      <c r="Y40" s="37">
        <f t="shared" si="9"/>
        <v>41.895741564354694</v>
      </c>
    </row>
    <row r="41" spans="1:25" ht="14.95" thickBot="1" x14ac:dyDescent="0.3">
      <c r="A41" s="17" t="s">
        <v>40</v>
      </c>
      <c r="B41" s="17">
        <v>10</v>
      </c>
      <c r="C41" s="102"/>
      <c r="D41" s="93"/>
      <c r="E41" s="4">
        <v>30</v>
      </c>
      <c r="F41" s="11">
        <v>8.7799999999999994</v>
      </c>
      <c r="G41" s="12">
        <v>11.1</v>
      </c>
      <c r="H41" s="11">
        <v>34.659999999999997</v>
      </c>
      <c r="I41" s="12">
        <v>37.71</v>
      </c>
      <c r="J41" s="11">
        <f t="shared" si="1"/>
        <v>25.879999999999995</v>
      </c>
      <c r="K41" s="12">
        <f t="shared" si="2"/>
        <v>26.61</v>
      </c>
      <c r="L41" s="11">
        <v>29.88</v>
      </c>
      <c r="M41" s="12">
        <v>32.92</v>
      </c>
      <c r="N41" s="11">
        <f t="shared" si="3"/>
        <v>21.1</v>
      </c>
      <c r="O41" s="12">
        <f t="shared" si="4"/>
        <v>21.82</v>
      </c>
      <c r="P41" s="11">
        <f t="shared" si="5"/>
        <v>4.779999999999994</v>
      </c>
      <c r="Q41" s="12">
        <f t="shared" si="6"/>
        <v>4.7899999999999991</v>
      </c>
      <c r="R41" s="11">
        <f t="shared" si="0"/>
        <v>22.654028436018926</v>
      </c>
      <c r="S41" s="12">
        <f t="shared" si="0"/>
        <v>21.95233730522456</v>
      </c>
      <c r="T41" s="12">
        <f t="shared" si="7"/>
        <v>22.303182870621743</v>
      </c>
      <c r="U41" s="7">
        <f t="shared" si="8"/>
        <v>22.654028436018926</v>
      </c>
      <c r="V41" s="30">
        <f t="shared" si="8"/>
        <v>21.95233730522456</v>
      </c>
      <c r="W41" s="11">
        <f>(U41/'Constantes e Funções Auxiliares'!$J$21)*'Constantes e Funções Auxiliares'!$I$21</f>
        <v>41.567024653245731</v>
      </c>
      <c r="X41" s="35">
        <f>(V41/'Constantes e Funções Auxiliares'!$J$21)*'Constantes e Funções Auxiliares'!$I$21</f>
        <v>40.279517991237725</v>
      </c>
      <c r="Y41" s="38">
        <f t="shared" si="9"/>
        <v>40.923271322241732</v>
      </c>
    </row>
    <row r="42" spans="1:25" ht="14.95" thickBot="1" x14ac:dyDescent="0.3">
      <c r="A42" s="17" t="s">
        <v>41</v>
      </c>
      <c r="B42" s="17">
        <v>11</v>
      </c>
      <c r="C42" s="102"/>
      <c r="D42" s="91">
        <v>2</v>
      </c>
      <c r="E42" s="2">
        <v>5</v>
      </c>
      <c r="F42" s="7">
        <v>17.41</v>
      </c>
      <c r="G42" s="8">
        <v>18.03</v>
      </c>
      <c r="H42" s="7">
        <v>42.12</v>
      </c>
      <c r="I42" s="8">
        <v>45.32</v>
      </c>
      <c r="J42" s="7">
        <f t="shared" si="1"/>
        <v>24.709999999999997</v>
      </c>
      <c r="K42" s="8">
        <f t="shared" si="2"/>
        <v>27.29</v>
      </c>
      <c r="L42" s="7">
        <v>36.659999999999997</v>
      </c>
      <c r="M42" s="8">
        <v>38.93</v>
      </c>
      <c r="N42" s="7">
        <f t="shared" si="3"/>
        <v>19.249999999999996</v>
      </c>
      <c r="O42" s="8">
        <f t="shared" si="4"/>
        <v>20.9</v>
      </c>
      <c r="P42" s="7">
        <f t="shared" si="5"/>
        <v>5.4600000000000009</v>
      </c>
      <c r="Q42" s="8">
        <f t="shared" si="6"/>
        <v>6.3900000000000006</v>
      </c>
      <c r="R42" s="7">
        <f t="shared" si="0"/>
        <v>28.363636363636374</v>
      </c>
      <c r="S42" s="8">
        <f t="shared" si="0"/>
        <v>30.574162679425843</v>
      </c>
      <c r="T42" s="8">
        <f t="shared" si="7"/>
        <v>29.468899521531107</v>
      </c>
      <c r="U42" s="7">
        <f t="shared" si="8"/>
        <v>28.363636363636374</v>
      </c>
      <c r="V42" s="30">
        <f t="shared" si="8"/>
        <v>30.574162679425843</v>
      </c>
      <c r="W42" s="7">
        <f>(U42/'Constantes e Funções Auxiliares'!$J$21)*'Constantes e Funções Auxiliares'!$I$21</f>
        <v>52.043369474562148</v>
      </c>
      <c r="X42" s="33">
        <f>(V42/'Constantes e Funções Auxiliares'!$J$21)*'Constantes e Funções Auxiliares'!$I$21</f>
        <v>56.099381063166682</v>
      </c>
      <c r="Y42" s="30">
        <f t="shared" si="9"/>
        <v>54.071375268864415</v>
      </c>
    </row>
    <row r="43" spans="1:25" ht="14.95" thickBot="1" x14ac:dyDescent="0.3">
      <c r="A43" s="17" t="s">
        <v>37</v>
      </c>
      <c r="B43" s="17">
        <v>12</v>
      </c>
      <c r="C43" s="102"/>
      <c r="D43" s="92"/>
      <c r="E43" s="3">
        <v>15</v>
      </c>
      <c r="F43" s="9">
        <v>17.739999999999998</v>
      </c>
      <c r="G43" s="10">
        <v>17.329999999999998</v>
      </c>
      <c r="H43" s="9">
        <v>45.36</v>
      </c>
      <c r="I43" s="10">
        <v>40.43</v>
      </c>
      <c r="J43" s="9">
        <f t="shared" si="1"/>
        <v>27.62</v>
      </c>
      <c r="K43" s="10">
        <f t="shared" si="2"/>
        <v>23.1</v>
      </c>
      <c r="L43" s="9">
        <v>40.39</v>
      </c>
      <c r="M43" s="10">
        <v>36.28</v>
      </c>
      <c r="N43" s="9">
        <f t="shared" si="3"/>
        <v>22.650000000000002</v>
      </c>
      <c r="O43" s="10">
        <f t="shared" si="4"/>
        <v>18.950000000000003</v>
      </c>
      <c r="P43" s="9">
        <f t="shared" si="5"/>
        <v>4.9699999999999989</v>
      </c>
      <c r="Q43" s="10">
        <f t="shared" si="6"/>
        <v>4.1499999999999986</v>
      </c>
      <c r="R43" s="9">
        <f t="shared" si="0"/>
        <v>21.942604856512133</v>
      </c>
      <c r="S43" s="10">
        <f t="shared" si="0"/>
        <v>21.899736147757245</v>
      </c>
      <c r="T43" s="10">
        <f t="shared" si="7"/>
        <v>21.921170502134689</v>
      </c>
      <c r="U43" s="7">
        <f t="shared" si="8"/>
        <v>21.942604856512133</v>
      </c>
      <c r="V43" s="30">
        <f t="shared" si="8"/>
        <v>21.899736147757245</v>
      </c>
      <c r="W43" s="9">
        <f>(U43/'Constantes e Funções Auxiliares'!$J$21)*'Constantes e Funções Auxiliares'!$I$21</f>
        <v>40.261660287178223</v>
      </c>
      <c r="X43" s="34">
        <f>(V43/'Constantes e Funções Auxiliares'!$J$21)*'Constantes e Funções Auxiliares'!$I$21</f>
        <v>40.183002105976591</v>
      </c>
      <c r="Y43" s="37">
        <f t="shared" si="9"/>
        <v>40.222331196577407</v>
      </c>
    </row>
    <row r="44" spans="1:25" ht="14.95" thickBot="1" x14ac:dyDescent="0.3">
      <c r="A44" s="17" t="s">
        <v>38</v>
      </c>
      <c r="B44" s="17">
        <v>13</v>
      </c>
      <c r="C44" s="102"/>
      <c r="D44" s="93"/>
      <c r="E44" s="4">
        <v>30</v>
      </c>
      <c r="F44" s="11">
        <v>8.7899999999999991</v>
      </c>
      <c r="G44" s="12">
        <v>12.77</v>
      </c>
      <c r="H44" s="11">
        <v>34.83</v>
      </c>
      <c r="I44" s="12">
        <v>36.31</v>
      </c>
      <c r="J44" s="11">
        <f t="shared" si="1"/>
        <v>26.04</v>
      </c>
      <c r="K44" s="12">
        <f t="shared" si="2"/>
        <v>23.540000000000003</v>
      </c>
      <c r="L44" s="11">
        <v>30.41</v>
      </c>
      <c r="M44" s="12">
        <v>32.19</v>
      </c>
      <c r="N44" s="11">
        <f t="shared" si="3"/>
        <v>21.62</v>
      </c>
      <c r="O44" s="12">
        <f t="shared" si="4"/>
        <v>19.419999999999998</v>
      </c>
      <c r="P44" s="11">
        <f t="shared" si="5"/>
        <v>4.4199999999999982</v>
      </c>
      <c r="Q44" s="12">
        <f t="shared" si="6"/>
        <v>4.1200000000000045</v>
      </c>
      <c r="R44" s="11">
        <f t="shared" si="0"/>
        <v>20.444033302497676</v>
      </c>
      <c r="S44" s="12">
        <f t="shared" si="0"/>
        <v>21.215242018537616</v>
      </c>
      <c r="T44" s="12">
        <f t="shared" si="7"/>
        <v>20.829637660517648</v>
      </c>
      <c r="U44" s="7">
        <f t="shared" si="8"/>
        <v>20.444033302497676</v>
      </c>
      <c r="V44" s="30">
        <f t="shared" si="8"/>
        <v>21.215242018537616</v>
      </c>
      <c r="W44" s="11">
        <f>(U44/'Constantes e Funções Auxiliares'!$J$21)*'Constantes e Funções Auxiliares'!$I$21</f>
        <v>37.511987711004906</v>
      </c>
      <c r="X44" s="35">
        <f>(V44/'Constantes e Funções Auxiliares'!$J$21)*'Constantes e Funções Auxiliares'!$I$21</f>
        <v>38.927049575298376</v>
      </c>
      <c r="Y44" s="38">
        <f t="shared" si="9"/>
        <v>38.219518643151645</v>
      </c>
    </row>
    <row r="45" spans="1:25" ht="14.95" thickBot="1" x14ac:dyDescent="0.3">
      <c r="A45" s="17" t="s">
        <v>42</v>
      </c>
      <c r="B45" s="17">
        <v>14</v>
      </c>
      <c r="C45" s="102"/>
      <c r="D45" s="91">
        <v>3</v>
      </c>
      <c r="E45" s="2">
        <v>5</v>
      </c>
      <c r="F45" s="7">
        <v>8.98</v>
      </c>
      <c r="G45" s="8">
        <v>17.43</v>
      </c>
      <c r="H45" s="7">
        <v>33.92</v>
      </c>
      <c r="I45" s="8">
        <v>41.46</v>
      </c>
      <c r="J45" s="7">
        <f t="shared" si="1"/>
        <v>24.94</v>
      </c>
      <c r="K45" s="8">
        <f t="shared" si="2"/>
        <v>24.03</v>
      </c>
      <c r="L45" s="7">
        <v>27.58</v>
      </c>
      <c r="M45" s="8">
        <v>34.94</v>
      </c>
      <c r="N45" s="7">
        <f t="shared" si="3"/>
        <v>18.599999999999998</v>
      </c>
      <c r="O45" s="8">
        <f t="shared" si="4"/>
        <v>17.509999999999998</v>
      </c>
      <c r="P45" s="7">
        <f t="shared" si="5"/>
        <v>6.3400000000000034</v>
      </c>
      <c r="Q45" s="8">
        <f t="shared" si="6"/>
        <v>6.5200000000000031</v>
      </c>
      <c r="R45" s="7">
        <f t="shared" si="0"/>
        <v>34.086021505376365</v>
      </c>
      <c r="S45" s="8">
        <f t="shared" si="0"/>
        <v>37.235865219874384</v>
      </c>
      <c r="T45" s="8">
        <f t="shared" si="7"/>
        <v>35.660943362625375</v>
      </c>
      <c r="U45" s="7">
        <f t="shared" si="8"/>
        <v>34.086021505376365</v>
      </c>
      <c r="V45" s="30">
        <f t="shared" si="8"/>
        <v>37.235865219874384</v>
      </c>
      <c r="W45" s="7">
        <f>(U45/'Constantes e Funções Auxiliares'!$J$21)*'Constantes e Funções Auxiliares'!$I$21</f>
        <v>62.543158725461218</v>
      </c>
      <c r="X45" s="33">
        <f>(V45/'Constantes e Funções Auxiliares'!$J$21)*'Constantes e Funções Auxiliares'!$I$21</f>
        <v>68.322688476833733</v>
      </c>
      <c r="Y45" s="30">
        <f t="shared" si="9"/>
        <v>65.432923601147479</v>
      </c>
    </row>
    <row r="46" spans="1:25" ht="14.95" thickBot="1" x14ac:dyDescent="0.3">
      <c r="A46" s="17" t="s">
        <v>43</v>
      </c>
      <c r="B46" s="17">
        <v>15</v>
      </c>
      <c r="C46" s="102"/>
      <c r="D46" s="92"/>
      <c r="E46" s="3">
        <v>15</v>
      </c>
      <c r="F46" s="9">
        <v>11.89</v>
      </c>
      <c r="G46" s="10">
        <v>9.41</v>
      </c>
      <c r="H46" s="9">
        <v>34.380000000000003</v>
      </c>
      <c r="I46" s="10">
        <v>34.92</v>
      </c>
      <c r="J46" s="9">
        <f t="shared" si="1"/>
        <v>22.490000000000002</v>
      </c>
      <c r="K46" s="10">
        <f t="shared" si="2"/>
        <v>25.51</v>
      </c>
      <c r="L46" s="9">
        <v>30.74</v>
      </c>
      <c r="M46" s="10">
        <v>29.77</v>
      </c>
      <c r="N46" s="9">
        <f t="shared" si="3"/>
        <v>18.849999999999998</v>
      </c>
      <c r="O46" s="10">
        <f t="shared" si="4"/>
        <v>20.36</v>
      </c>
      <c r="P46" s="9">
        <f t="shared" si="5"/>
        <v>3.6400000000000041</v>
      </c>
      <c r="Q46" s="10">
        <f t="shared" si="6"/>
        <v>5.1500000000000021</v>
      </c>
      <c r="R46" s="9">
        <f t="shared" si="0"/>
        <v>19.310344827586231</v>
      </c>
      <c r="S46" s="10">
        <f t="shared" si="0"/>
        <v>25.294695481335967</v>
      </c>
      <c r="T46" s="10">
        <f t="shared" si="7"/>
        <v>22.302520154461099</v>
      </c>
      <c r="U46" s="7">
        <f t="shared" si="8"/>
        <v>19.310344827586231</v>
      </c>
      <c r="V46" s="30">
        <f t="shared" si="8"/>
        <v>25.294695481335967</v>
      </c>
      <c r="W46" s="9">
        <f>(U46/'Constantes e Funções Auxiliares'!$J$21)*'Constantes e Funções Auxiliares'!$I$21</f>
        <v>35.431825371717856</v>
      </c>
      <c r="X46" s="34">
        <f>(V46/'Constantes e Funções Auxiliares'!$J$21)*'Constantes e Funções Auxiliares'!$I$21</f>
        <v>46.412285286854981</v>
      </c>
      <c r="Y46" s="37">
        <f t="shared" si="9"/>
        <v>40.922055329286422</v>
      </c>
    </row>
    <row r="47" spans="1:25" ht="14.95" thickBot="1" x14ac:dyDescent="0.3">
      <c r="A47" s="18" t="s">
        <v>43</v>
      </c>
      <c r="B47" s="18">
        <v>16</v>
      </c>
      <c r="C47" s="103"/>
      <c r="D47" s="93"/>
      <c r="E47" s="4">
        <v>30</v>
      </c>
      <c r="F47" s="11">
        <v>17.43</v>
      </c>
      <c r="G47" s="12">
        <v>17.16</v>
      </c>
      <c r="H47" s="11">
        <v>41.29</v>
      </c>
      <c r="I47" s="12">
        <v>39.200000000000003</v>
      </c>
      <c r="J47" s="11">
        <f t="shared" si="1"/>
        <v>23.86</v>
      </c>
      <c r="K47" s="12">
        <f t="shared" si="2"/>
        <v>22.040000000000003</v>
      </c>
      <c r="L47" s="11">
        <v>36.630000000000003</v>
      </c>
      <c r="M47" s="12">
        <v>34.869999999999997</v>
      </c>
      <c r="N47" s="11">
        <f t="shared" si="3"/>
        <v>19.200000000000003</v>
      </c>
      <c r="O47" s="12">
        <f t="shared" si="4"/>
        <v>17.709999999999997</v>
      </c>
      <c r="P47" s="11">
        <f t="shared" si="5"/>
        <v>4.6599999999999966</v>
      </c>
      <c r="Q47" s="12">
        <f t="shared" si="6"/>
        <v>4.3300000000000054</v>
      </c>
      <c r="R47" s="11">
        <f t="shared" si="0"/>
        <v>24.270833333333311</v>
      </c>
      <c r="S47" s="12">
        <f t="shared" si="0"/>
        <v>24.449463579898399</v>
      </c>
      <c r="T47" s="12">
        <f t="shared" si="7"/>
        <v>24.360148456615853</v>
      </c>
      <c r="U47" s="29">
        <f t="shared" si="8"/>
        <v>24.270833333333311</v>
      </c>
      <c r="V47" s="31">
        <f t="shared" si="8"/>
        <v>24.449463579898399</v>
      </c>
      <c r="W47" s="11">
        <f>(U47/'Constantes e Funções Auxiliares'!$J$21)*'Constantes e Funções Auxiliares'!$I$21</f>
        <v>44.533639143730845</v>
      </c>
      <c r="X47" s="35">
        <f>(V47/'Constantes e Funções Auxiliares'!$J$21)*'Constantes e Funções Auxiliares'!$I$21</f>
        <v>44.861401064033757</v>
      </c>
      <c r="Y47" s="38">
        <f t="shared" si="9"/>
        <v>44.697520103882297</v>
      </c>
    </row>
  </sheetData>
  <mergeCells count="27">
    <mergeCell ref="U4:V4"/>
    <mergeCell ref="W4:Y4"/>
    <mergeCell ref="C39:C47"/>
    <mergeCell ref="D39:D41"/>
    <mergeCell ref="D42:D44"/>
    <mergeCell ref="D45:D47"/>
    <mergeCell ref="F4:G4"/>
    <mergeCell ref="D24:D26"/>
    <mergeCell ref="D27:D29"/>
    <mergeCell ref="D30:D32"/>
    <mergeCell ref="D33:D35"/>
    <mergeCell ref="D36:D38"/>
    <mergeCell ref="C24:C38"/>
    <mergeCell ref="C6:C23"/>
    <mergeCell ref="D6:D8"/>
    <mergeCell ref="D9:D11"/>
    <mergeCell ref="D12:D14"/>
    <mergeCell ref="D15:D17"/>
    <mergeCell ref="D18:D20"/>
    <mergeCell ref="D21:D23"/>
    <mergeCell ref="T4:T5"/>
    <mergeCell ref="H4:I4"/>
    <mergeCell ref="J4:K4"/>
    <mergeCell ref="L4:M4"/>
    <mergeCell ref="N4:O4"/>
    <mergeCell ref="R4:S4"/>
    <mergeCell ref="P4:Q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B359-0C21-45D1-94BC-855C4B567805}">
  <dimension ref="A5:AG48"/>
  <sheetViews>
    <sheetView zoomScale="85" zoomScaleNormal="85" workbookViewId="0">
      <selection activeCell="R7" sqref="R7:R48"/>
    </sheetView>
  </sheetViews>
  <sheetFormatPr defaultRowHeight="14.3" x14ac:dyDescent="0.25"/>
  <cols>
    <col min="1" max="1" width="7.75" bestFit="1" customWidth="1"/>
    <col min="2" max="2" width="8.375" bestFit="1" customWidth="1"/>
    <col min="3" max="3" width="7.625" bestFit="1" customWidth="1"/>
    <col min="4" max="4" width="5.25" bestFit="1" customWidth="1"/>
    <col min="5" max="5" width="17.75" bestFit="1" customWidth="1"/>
    <col min="6" max="6" width="17.75" customWidth="1"/>
    <col min="7" max="7" width="16.25" customWidth="1"/>
    <col min="14" max="14" width="13.625" customWidth="1"/>
    <col min="15" max="16" width="15.125" bestFit="1" customWidth="1"/>
    <col min="17" max="17" width="11.375" bestFit="1" customWidth="1"/>
  </cols>
  <sheetData>
    <row r="5" spans="1:33" ht="14.95" thickBot="1" x14ac:dyDescent="0.3">
      <c r="AG5" s="127" t="e">
        <f>(-5)^AC41</f>
        <v>#NUM!</v>
      </c>
    </row>
    <row r="6" spans="1:33" ht="17.7" thickBot="1" x14ac:dyDescent="0.3">
      <c r="A6" s="15" t="s">
        <v>81</v>
      </c>
      <c r="B6" s="15" t="s">
        <v>54</v>
      </c>
      <c r="C6" s="1" t="s">
        <v>1</v>
      </c>
      <c r="D6" s="20" t="s">
        <v>0</v>
      </c>
      <c r="E6" s="21" t="s">
        <v>2</v>
      </c>
      <c r="F6" s="15" t="s">
        <v>113</v>
      </c>
      <c r="G6" s="15" t="s">
        <v>118</v>
      </c>
      <c r="H6" s="15" t="s">
        <v>89</v>
      </c>
      <c r="I6" s="15" t="s">
        <v>90</v>
      </c>
      <c r="J6" s="15" t="s">
        <v>175</v>
      </c>
      <c r="K6" s="15" t="s">
        <v>176</v>
      </c>
      <c r="L6" s="15" t="s">
        <v>177</v>
      </c>
      <c r="M6" s="15" t="s">
        <v>178</v>
      </c>
      <c r="N6" s="15" t="s">
        <v>115</v>
      </c>
      <c r="O6" s="15" t="s">
        <v>121</v>
      </c>
      <c r="P6" s="15" t="s">
        <v>122</v>
      </c>
      <c r="Q6" s="15" t="s">
        <v>123</v>
      </c>
      <c r="R6" s="15" t="s">
        <v>124</v>
      </c>
    </row>
    <row r="7" spans="1:33" ht="14.95" thickBot="1" x14ac:dyDescent="0.3">
      <c r="A7" s="16" t="s">
        <v>3</v>
      </c>
      <c r="B7" s="16" t="s">
        <v>55</v>
      </c>
      <c r="C7" s="104">
        <v>2</v>
      </c>
      <c r="D7" s="107">
        <v>1</v>
      </c>
      <c r="E7" s="128">
        <v>5</v>
      </c>
      <c r="F7" s="28">
        <v>61.043418699044381</v>
      </c>
      <c r="G7" s="44">
        <f t="shared" ref="G7:G48" si="0">F7/100</f>
        <v>0.61043418699044383</v>
      </c>
      <c r="H7" s="28">
        <f>$U$28*G7^$V$28</f>
        <v>-154.6244593490058</v>
      </c>
      <c r="I7" s="28">
        <f>$U$29*G7+$V$29</f>
        <v>-0.85705645800797747</v>
      </c>
      <c r="J7" s="28">
        <f>$U$30*G7+$V$30</f>
        <v>5.4945525079326343</v>
      </c>
      <c r="K7" s="28">
        <f>$U$31*G7^$V$31</f>
        <v>1.0153719221105786</v>
      </c>
      <c r="L7" s="28">
        <f>$U$32*G7^$V$32</f>
        <v>7.0262121837637151E-2</v>
      </c>
      <c r="M7" s="28">
        <f>$U$33*G7^$V$33</f>
        <v>-154.98548585439926</v>
      </c>
      <c r="N7" s="41">
        <f>(E7^H7)*(EXP(J7*E7*(-(E7^I7)))+(K7/E7))^(E7*L7+M7)</f>
        <v>4.5194016774280199E-2</v>
      </c>
      <c r="O7" s="41">
        <f>N7*G7</f>
        <v>2.7587972886440215E-2</v>
      </c>
      <c r="P7" s="110">
        <f>SUM(O7:O9)</f>
        <v>3.2286030514482221E-2</v>
      </c>
      <c r="Q7" s="110">
        <f>SUM(N7:N9)</f>
        <v>6.0765163532577493E-2</v>
      </c>
      <c r="R7" s="113">
        <f>P7/Q7</f>
        <v>0.53132467087285951</v>
      </c>
    </row>
    <row r="8" spans="1:33" ht="14.95" thickBot="1" x14ac:dyDescent="0.3">
      <c r="A8" s="17" t="s">
        <v>4</v>
      </c>
      <c r="B8" s="17" t="s">
        <v>56</v>
      </c>
      <c r="C8" s="105"/>
      <c r="D8" s="108"/>
      <c r="E8" s="129">
        <v>15</v>
      </c>
      <c r="F8" s="39">
        <v>29.828450375777514</v>
      </c>
      <c r="G8" s="44">
        <f t="shared" si="0"/>
        <v>0.29828450375777515</v>
      </c>
      <c r="H8" s="28">
        <f t="shared" ref="H8:H48" si="1">$U$28*G8^$V$28</f>
        <v>-141.52948170697729</v>
      </c>
      <c r="I8" s="28">
        <f t="shared" ref="I8:I48" si="2">$U$29*G8+$V$29</f>
        <v>-0.82365644190208198</v>
      </c>
      <c r="J8" s="28">
        <f t="shared" ref="J8:J48" si="3">$U$30*G8+$V$30</f>
        <v>5.341486789262663</v>
      </c>
      <c r="K8" s="28">
        <f t="shared" ref="K8:K48" si="4">$U$31*G8^$V$31</f>
        <v>1.0207523535828245</v>
      </c>
      <c r="L8" s="28">
        <f t="shared" ref="L8:L48" si="5">$U$32*G8^$V$32</f>
        <v>3.9693009386932994E-2</v>
      </c>
      <c r="M8" s="28">
        <f t="shared" ref="M8:M48" si="6">$U$33*G8^$V$33</f>
        <v>-141.76751728168807</v>
      </c>
      <c r="N8" s="41">
        <f t="shared" ref="N8:N48" si="7">(E8^H8)*(EXP(J8*E8*(-(E8^I8)))+(K8/E8))^(E8*L8+M8)</f>
        <v>1.4341006268204315E-2</v>
      </c>
      <c r="O8" s="42">
        <f>N8*G8</f>
        <v>4.2776999380984672E-3</v>
      </c>
      <c r="P8" s="111"/>
      <c r="Q8" s="111"/>
      <c r="R8" s="114"/>
    </row>
    <row r="9" spans="1:33" ht="14.95" thickBot="1" x14ac:dyDescent="0.3">
      <c r="A9" s="17" t="s">
        <v>5</v>
      </c>
      <c r="B9" s="17" t="s">
        <v>58</v>
      </c>
      <c r="C9" s="105"/>
      <c r="D9" s="109"/>
      <c r="E9" s="130">
        <v>30</v>
      </c>
      <c r="F9" s="40">
        <v>34.171518889827148</v>
      </c>
      <c r="G9" s="44">
        <f t="shared" si="0"/>
        <v>0.34171518889827146</v>
      </c>
      <c r="H9" s="28">
        <f t="shared" si="1"/>
        <v>-143.92680912365358</v>
      </c>
      <c r="I9" s="28">
        <f t="shared" si="2"/>
        <v>-0.82830352521211503</v>
      </c>
      <c r="J9" s="28">
        <f t="shared" si="3"/>
        <v>5.3627834600281563</v>
      </c>
      <c r="K9" s="28">
        <f t="shared" si="4"/>
        <v>1.0197288866173722</v>
      </c>
      <c r="L9" s="28">
        <f t="shared" si="5"/>
        <v>4.4237358207900555E-2</v>
      </c>
      <c r="M9" s="28">
        <f t="shared" si="6"/>
        <v>-144.18671095711858</v>
      </c>
      <c r="N9" s="41">
        <f t="shared" si="7"/>
        <v>1.2301404900929797E-3</v>
      </c>
      <c r="O9" s="43">
        <f>N9*G9</f>
        <v>4.2035768994353476E-4</v>
      </c>
      <c r="P9" s="111"/>
      <c r="Q9" s="111"/>
      <c r="R9" s="114"/>
    </row>
    <row r="10" spans="1:33" ht="14.95" thickBot="1" x14ac:dyDescent="0.3">
      <c r="A10" s="17" t="s">
        <v>6</v>
      </c>
      <c r="B10" s="17" t="s">
        <v>57</v>
      </c>
      <c r="C10" s="105"/>
      <c r="D10" s="107">
        <v>2</v>
      </c>
      <c r="E10" s="128">
        <v>5</v>
      </c>
      <c r="F10" s="28">
        <v>42.832891620949425</v>
      </c>
      <c r="G10" s="44">
        <f t="shared" si="0"/>
        <v>0.42832891620949426</v>
      </c>
      <c r="H10" s="28">
        <f t="shared" si="1"/>
        <v>-148.00130141444257</v>
      </c>
      <c r="I10" s="28">
        <f t="shared" si="2"/>
        <v>-0.83757119403441593</v>
      </c>
      <c r="J10" s="28">
        <f t="shared" si="3"/>
        <v>5.4052553673524875</v>
      </c>
      <c r="K10" s="28">
        <f t="shared" si="4"/>
        <v>1.0180301664890816</v>
      </c>
      <c r="L10" s="28">
        <f t="shared" si="5"/>
        <v>5.296970104604401E-2</v>
      </c>
      <c r="M10" s="28">
        <f t="shared" si="6"/>
        <v>-148.29904534559265</v>
      </c>
      <c r="N10" s="41">
        <f t="shared" si="7"/>
        <v>3.9137253060016336E-2</v>
      </c>
      <c r="O10" s="41">
        <f>N10*G10</f>
        <v>1.6763617186613511E-2</v>
      </c>
      <c r="P10" s="110">
        <f t="shared" ref="P10" si="8">SUM(O10:O12)</f>
        <v>2.2038755895300889E-2</v>
      </c>
      <c r="Q10" s="110">
        <f t="shared" ref="Q10" si="9">SUM(N10:N12)</f>
        <v>5.2221039298934908E-2</v>
      </c>
      <c r="R10" s="113">
        <f t="shared" ref="R10" si="10">P10/Q10</f>
        <v>0.42202828957772942</v>
      </c>
    </row>
    <row r="11" spans="1:33" ht="14.95" thickBot="1" x14ac:dyDescent="0.3">
      <c r="A11" s="17" t="s">
        <v>7</v>
      </c>
      <c r="B11" s="17" t="s">
        <v>59</v>
      </c>
      <c r="C11" s="105"/>
      <c r="D11" s="108">
        <v>2</v>
      </c>
      <c r="E11" s="129">
        <v>15</v>
      </c>
      <c r="F11" s="39">
        <v>40.944532788471982</v>
      </c>
      <c r="G11" s="44">
        <f t="shared" si="0"/>
        <v>0.40944532788471982</v>
      </c>
      <c r="H11" s="28">
        <f t="shared" si="1"/>
        <v>-147.17900124131333</v>
      </c>
      <c r="I11" s="28">
        <f t="shared" si="2"/>
        <v>-0.83555065008366503</v>
      </c>
      <c r="J11" s="28">
        <f t="shared" si="3"/>
        <v>5.3959956109815508</v>
      </c>
      <c r="K11" s="28">
        <f t="shared" si="4"/>
        <v>1.0183689719074445</v>
      </c>
      <c r="L11" s="28">
        <f t="shared" si="5"/>
        <v>5.1099031236580168E-2</v>
      </c>
      <c r="M11" s="28">
        <f t="shared" si="6"/>
        <v>-147.46904010507583</v>
      </c>
      <c r="N11" s="41">
        <f t="shared" si="7"/>
        <v>1.1860502385850168E-2</v>
      </c>
      <c r="O11" s="42">
        <f>N11*G11</f>
        <v>4.8562272882519235E-3</v>
      </c>
      <c r="P11" s="111"/>
      <c r="Q11" s="111"/>
      <c r="R11" s="114"/>
    </row>
    <row r="12" spans="1:33" ht="14.95" thickBot="1" x14ac:dyDescent="0.3">
      <c r="A12" s="17" t="s">
        <v>8</v>
      </c>
      <c r="B12" s="17" t="s">
        <v>60</v>
      </c>
      <c r="C12" s="105"/>
      <c r="D12" s="109"/>
      <c r="E12" s="130">
        <v>30</v>
      </c>
      <c r="F12" s="40">
        <v>34.244825465870619</v>
      </c>
      <c r="G12" s="44">
        <f t="shared" si="0"/>
        <v>0.34244825465870621</v>
      </c>
      <c r="H12" s="28">
        <f t="shared" si="1"/>
        <v>-143.96492671754751</v>
      </c>
      <c r="I12" s="28">
        <f t="shared" si="2"/>
        <v>-0.82838196324848157</v>
      </c>
      <c r="J12" s="28">
        <f t="shared" si="3"/>
        <v>5.3631429261544428</v>
      </c>
      <c r="K12" s="28">
        <f t="shared" si="4"/>
        <v>1.0197127597177911</v>
      </c>
      <c r="L12" s="28">
        <f t="shared" si="5"/>
        <v>4.4313018168757191E-2</v>
      </c>
      <c r="M12" s="28">
        <f t="shared" si="6"/>
        <v>-144.22517863523049</v>
      </c>
      <c r="N12" s="41">
        <f t="shared" si="7"/>
        <v>1.2232838530684066E-3</v>
      </c>
      <c r="O12" s="43">
        <f>N12*G12</f>
        <v>4.1891142043545306E-4</v>
      </c>
      <c r="P12" s="111"/>
      <c r="Q12" s="111"/>
      <c r="R12" s="114"/>
    </row>
    <row r="13" spans="1:33" ht="14.95" thickBot="1" x14ac:dyDescent="0.3">
      <c r="A13" s="17" t="s">
        <v>9</v>
      </c>
      <c r="B13" s="17" t="s">
        <v>61</v>
      </c>
      <c r="C13" s="105"/>
      <c r="D13" s="107">
        <v>3</v>
      </c>
      <c r="E13" s="128">
        <v>5</v>
      </c>
      <c r="F13" s="28">
        <v>36.824739702625308</v>
      </c>
      <c r="G13" s="44">
        <f t="shared" si="0"/>
        <v>0.36824739702625309</v>
      </c>
      <c r="H13" s="28">
        <f t="shared" si="1"/>
        <v>-145.26289081524772</v>
      </c>
      <c r="I13" s="28">
        <f t="shared" si="2"/>
        <v>-0.83114247148180909</v>
      </c>
      <c r="J13" s="28">
        <f t="shared" si="3"/>
        <v>5.3757937936057933</v>
      </c>
      <c r="K13" s="28">
        <f t="shared" si="4"/>
        <v>1.0191662972934512</v>
      </c>
      <c r="L13" s="28">
        <f t="shared" si="5"/>
        <v>4.6955453985332518E-2</v>
      </c>
      <c r="M13" s="28">
        <f t="shared" si="6"/>
        <v>-145.53510828469123</v>
      </c>
      <c r="N13" s="41">
        <f t="shared" si="7"/>
        <v>3.6425735544647959E-2</v>
      </c>
      <c r="O13" s="41">
        <f>N13*G13</f>
        <v>1.3413682299083277E-2</v>
      </c>
      <c r="P13" s="110">
        <f t="shared" ref="P13" si="11">SUM(O13:O15)</f>
        <v>1.8706910361434039E-2</v>
      </c>
      <c r="Q13" s="110">
        <f t="shared" ref="Q13" si="12">SUM(N13:N15)</f>
        <v>5.0287205116371317E-2</v>
      </c>
      <c r="R13" s="113">
        <f t="shared" ref="R13" si="13">P13/Q13</f>
        <v>0.37200139316042219</v>
      </c>
    </row>
    <row r="14" spans="1:33" ht="14.95" thickBot="1" x14ac:dyDescent="0.3">
      <c r="A14" s="17" t="s">
        <v>10</v>
      </c>
      <c r="B14" s="17" t="s">
        <v>62</v>
      </c>
      <c r="C14" s="105"/>
      <c r="D14" s="108">
        <v>3</v>
      </c>
      <c r="E14" s="129">
        <v>15</v>
      </c>
      <c r="F14" s="39">
        <v>39.102897850929693</v>
      </c>
      <c r="G14" s="44">
        <f t="shared" si="0"/>
        <v>0.39102897850929691</v>
      </c>
      <c r="H14" s="28">
        <f t="shared" si="1"/>
        <v>-146.34438395395088</v>
      </c>
      <c r="I14" s="28">
        <f t="shared" si="2"/>
        <v>-0.83358010070049482</v>
      </c>
      <c r="J14" s="28">
        <f t="shared" si="3"/>
        <v>5.3869649699018192</v>
      </c>
      <c r="K14" s="28">
        <f t="shared" si="4"/>
        <v>1.0187149097418464</v>
      </c>
      <c r="L14" s="28">
        <f t="shared" si="5"/>
        <v>4.9257736597368477E-2</v>
      </c>
      <c r="M14" s="28">
        <f t="shared" si="6"/>
        <v>-146.62663725904298</v>
      </c>
      <c r="N14" s="41">
        <f t="shared" si="7"/>
        <v>1.2296465270594439E-2</v>
      </c>
      <c r="O14" s="42">
        <f>N14*G14</f>
        <v>4.808274254035589E-3</v>
      </c>
      <c r="P14" s="111"/>
      <c r="Q14" s="111"/>
      <c r="R14" s="114"/>
    </row>
    <row r="15" spans="1:33" ht="14.95" thickBot="1" x14ac:dyDescent="0.3">
      <c r="A15" s="17" t="s">
        <v>11</v>
      </c>
      <c r="B15" s="17" t="s">
        <v>63</v>
      </c>
      <c r="C15" s="105"/>
      <c r="D15" s="109"/>
      <c r="E15" s="130">
        <v>30</v>
      </c>
      <c r="F15" s="40">
        <v>30.987378626713529</v>
      </c>
      <c r="G15" s="44">
        <f t="shared" si="0"/>
        <v>0.3098737862671353</v>
      </c>
      <c r="H15" s="28">
        <f t="shared" si="1"/>
        <v>-142.19768045169707</v>
      </c>
      <c r="I15" s="28">
        <f t="shared" si="2"/>
        <v>-0.8248964951305835</v>
      </c>
      <c r="J15" s="28">
        <f t="shared" si="3"/>
        <v>5.3471697098339526</v>
      </c>
      <c r="K15" s="28">
        <f t="shared" si="4"/>
        <v>1.0204652502979354</v>
      </c>
      <c r="L15" s="28">
        <f t="shared" si="5"/>
        <v>4.0918037894853591E-2</v>
      </c>
      <c r="M15" s="28">
        <f t="shared" si="6"/>
        <v>-142.44178061624561</v>
      </c>
      <c r="N15" s="41">
        <f t="shared" si="7"/>
        <v>1.5650043011289239E-3</v>
      </c>
      <c r="O15" s="43">
        <f>N15*G15</f>
        <v>4.8495380831517162E-4</v>
      </c>
      <c r="P15" s="111"/>
      <c r="Q15" s="111"/>
      <c r="R15" s="114"/>
    </row>
    <row r="16" spans="1:33" ht="14.95" thickBot="1" x14ac:dyDescent="0.3">
      <c r="A16" s="17" t="s">
        <v>12</v>
      </c>
      <c r="B16" s="17" t="s">
        <v>64</v>
      </c>
      <c r="C16" s="105"/>
      <c r="D16" s="107">
        <v>4</v>
      </c>
      <c r="E16" s="128">
        <v>5</v>
      </c>
      <c r="F16" s="28">
        <v>43.437218560644624</v>
      </c>
      <c r="G16" s="44">
        <f t="shared" si="0"/>
        <v>0.43437218560644625</v>
      </c>
      <c r="H16" s="28">
        <f t="shared" si="1"/>
        <v>-148.25775175170554</v>
      </c>
      <c r="I16" s="28">
        <f t="shared" si="2"/>
        <v>-0.83821782385988974</v>
      </c>
      <c r="J16" s="28">
        <f t="shared" si="3"/>
        <v>5.4082187449339774</v>
      </c>
      <c r="K16" s="28">
        <f t="shared" si="4"/>
        <v>1.0179249113623261</v>
      </c>
      <c r="L16" s="28">
        <f t="shared" si="5"/>
        <v>5.356481081433926E-2</v>
      </c>
      <c r="M16" s="28">
        <f t="shared" si="6"/>
        <v>-148.55790561443052</v>
      </c>
      <c r="N16" s="41">
        <f t="shared" si="7"/>
        <v>3.9389225470722197E-2</v>
      </c>
      <c r="O16" s="41">
        <f>N16*G16</f>
        <v>1.7109583957062701E-2</v>
      </c>
      <c r="P16" s="110">
        <f t="shared" ref="P16" si="14">SUM(O16:O18)</f>
        <v>2.2551319219768599E-2</v>
      </c>
      <c r="Q16" s="110">
        <f t="shared" ref="Q16" si="15">SUM(N16:N18)</f>
        <v>5.1675116107323789E-2</v>
      </c>
      <c r="R16" s="113">
        <f t="shared" ref="R16" si="16">P16/Q16</f>
        <v>0.4364057774525727</v>
      </c>
    </row>
    <row r="17" spans="1:22" ht="14.95" thickBot="1" x14ac:dyDescent="0.3">
      <c r="A17" s="17" t="s">
        <v>13</v>
      </c>
      <c r="B17" s="17" t="s">
        <v>65</v>
      </c>
      <c r="C17" s="105"/>
      <c r="D17" s="108">
        <v>4</v>
      </c>
      <c r="E17" s="129">
        <v>15</v>
      </c>
      <c r="F17" s="39">
        <v>47.373663930919726</v>
      </c>
      <c r="G17" s="44">
        <f t="shared" si="0"/>
        <v>0.47373663930919724</v>
      </c>
      <c r="H17" s="28">
        <f t="shared" si="1"/>
        <v>-149.85557542245502</v>
      </c>
      <c r="I17" s="28">
        <f t="shared" si="2"/>
        <v>-0.84242982040608405</v>
      </c>
      <c r="J17" s="28">
        <f t="shared" si="3"/>
        <v>5.4275214984516582</v>
      </c>
      <c r="K17" s="28">
        <f t="shared" si="4"/>
        <v>1.0172734305064597</v>
      </c>
      <c r="L17" s="28">
        <f t="shared" si="5"/>
        <v>5.7401431630070186E-2</v>
      </c>
      <c r="M17" s="28">
        <f t="shared" si="6"/>
        <v>-150.17081851124902</v>
      </c>
      <c r="N17" s="41">
        <f t="shared" si="7"/>
        <v>1.0331984093149699E-2</v>
      </c>
      <c r="O17" s="42">
        <f>N17*G17</f>
        <v>4.8946394216848217E-3</v>
      </c>
      <c r="P17" s="111"/>
      <c r="Q17" s="111"/>
      <c r="R17" s="114"/>
    </row>
    <row r="18" spans="1:22" ht="14.95" thickBot="1" x14ac:dyDescent="0.3">
      <c r="A18" s="17" t="s">
        <v>14</v>
      </c>
      <c r="B18" s="17" t="s">
        <v>66</v>
      </c>
      <c r="C18" s="105"/>
      <c r="D18" s="109"/>
      <c r="E18" s="130">
        <v>30</v>
      </c>
      <c r="F18" s="40">
        <v>28.000102812212411</v>
      </c>
      <c r="G18" s="44">
        <f t="shared" si="0"/>
        <v>0.28000102812212413</v>
      </c>
      <c r="H18" s="28">
        <f t="shared" si="1"/>
        <v>-140.42754927155278</v>
      </c>
      <c r="I18" s="28">
        <f t="shared" si="2"/>
        <v>-0.82170011000906729</v>
      </c>
      <c r="J18" s="28">
        <f t="shared" si="3"/>
        <v>5.3325213041499646</v>
      </c>
      <c r="K18" s="28">
        <f t="shared" si="4"/>
        <v>1.0212289703559645</v>
      </c>
      <c r="L18" s="28">
        <f t="shared" si="5"/>
        <v>3.7740510888057396E-2</v>
      </c>
      <c r="M18" s="28">
        <f t="shared" si="6"/>
        <v>-140.65563493692724</v>
      </c>
      <c r="N18" s="41">
        <f t="shared" si="7"/>
        <v>1.9539065434518942E-3</v>
      </c>
      <c r="O18" s="43">
        <f>N18*G18</f>
        <v>5.4709584102107618E-4</v>
      </c>
      <c r="P18" s="111"/>
      <c r="Q18" s="111"/>
      <c r="R18" s="114"/>
    </row>
    <row r="19" spans="1:22" ht="14.95" thickBot="1" x14ac:dyDescent="0.3">
      <c r="A19" s="17" t="s">
        <v>15</v>
      </c>
      <c r="B19" s="17" t="s">
        <v>67</v>
      </c>
      <c r="C19" s="105"/>
      <c r="D19" s="107">
        <v>5</v>
      </c>
      <c r="E19" s="128">
        <v>5</v>
      </c>
      <c r="F19" s="28">
        <v>48.67908490800049</v>
      </c>
      <c r="G19" s="44">
        <f t="shared" si="0"/>
        <v>0.48679084908000492</v>
      </c>
      <c r="H19" s="28">
        <f t="shared" si="1"/>
        <v>-150.35978731041982</v>
      </c>
      <c r="I19" s="28">
        <f t="shared" si="2"/>
        <v>-0.84382662085156057</v>
      </c>
      <c r="J19" s="28">
        <f t="shared" si="3"/>
        <v>5.4339227607548715</v>
      </c>
      <c r="K19" s="28">
        <f t="shared" si="4"/>
        <v>1.0170693751365907</v>
      </c>
      <c r="L19" s="28">
        <f t="shared" si="5"/>
        <v>5.8659280098028115E-2</v>
      </c>
      <c r="M19" s="28">
        <f t="shared" si="6"/>
        <v>-150.67981833351385</v>
      </c>
      <c r="N19" s="41">
        <f t="shared" si="7"/>
        <v>4.1422184969244442E-2</v>
      </c>
      <c r="O19" s="41">
        <f>N19*G19</f>
        <v>2.0163940591927519E-2</v>
      </c>
      <c r="P19" s="110">
        <f t="shared" ref="P19" si="17">SUM(O19:O21)</f>
        <v>2.544307719240519E-2</v>
      </c>
      <c r="Q19" s="110">
        <f t="shared" ref="Q19" si="18">SUM(N19:N21)</f>
        <v>5.3468974000343346E-2</v>
      </c>
      <c r="R19" s="113">
        <f t="shared" ref="R19" si="19">P19/Q19</f>
        <v>0.47584749227172024</v>
      </c>
    </row>
    <row r="20" spans="1:22" ht="14.95" thickBot="1" x14ac:dyDescent="0.3">
      <c r="A20" s="17" t="s">
        <v>16</v>
      </c>
      <c r="B20" s="17" t="s">
        <v>68</v>
      </c>
      <c r="C20" s="105"/>
      <c r="D20" s="108">
        <v>5</v>
      </c>
      <c r="E20" s="129">
        <v>15</v>
      </c>
      <c r="F20" s="39">
        <v>44.526266744619633</v>
      </c>
      <c r="G20" s="44">
        <f t="shared" si="0"/>
        <v>0.44526266744619636</v>
      </c>
      <c r="H20" s="28">
        <f t="shared" si="1"/>
        <v>-148.71210321631216</v>
      </c>
      <c r="I20" s="28">
        <f t="shared" si="2"/>
        <v>-0.83938310541674299</v>
      </c>
      <c r="J20" s="28">
        <f t="shared" si="3"/>
        <v>5.4135590016089168</v>
      </c>
      <c r="K20" s="28">
        <f t="shared" si="4"/>
        <v>1.017738904367897</v>
      </c>
      <c r="L20" s="28">
        <f t="shared" si="5"/>
        <v>5.4633038785782399E-2</v>
      </c>
      <c r="M20" s="28">
        <f t="shared" si="6"/>
        <v>-149.01653483252008</v>
      </c>
      <c r="N20" s="41">
        <f t="shared" si="7"/>
        <v>1.1007045864019377E-2</v>
      </c>
      <c r="O20" s="42">
        <f>N20*G20</f>
        <v>4.9010266021158912E-3</v>
      </c>
      <c r="P20" s="111"/>
      <c r="Q20" s="111"/>
      <c r="R20" s="114"/>
    </row>
    <row r="21" spans="1:22" ht="14.95" thickBot="1" x14ac:dyDescent="0.3">
      <c r="A21" s="17" t="s">
        <v>17</v>
      </c>
      <c r="B21" s="17" t="s">
        <v>69</v>
      </c>
      <c r="C21" s="105"/>
      <c r="D21" s="109"/>
      <c r="E21" s="130">
        <v>30</v>
      </c>
      <c r="F21" s="40">
        <v>36.365711296168442</v>
      </c>
      <c r="G21" s="44">
        <f t="shared" si="0"/>
        <v>0.3636571129616844</v>
      </c>
      <c r="H21" s="28">
        <f t="shared" si="1"/>
        <v>-145.03790661430256</v>
      </c>
      <c r="I21" s="28">
        <f t="shared" si="2"/>
        <v>-0.83065131108690027</v>
      </c>
      <c r="J21" s="28">
        <f t="shared" si="3"/>
        <v>5.3735429019118914</v>
      </c>
      <c r="K21" s="28">
        <f t="shared" si="4"/>
        <v>1.0192606473893853</v>
      </c>
      <c r="L21" s="28">
        <f t="shared" si="5"/>
        <v>4.6488118010222373E-2</v>
      </c>
      <c r="M21" s="28">
        <f t="shared" si="6"/>
        <v>-145.30804382290469</v>
      </c>
      <c r="N21" s="41">
        <f t="shared" si="7"/>
        <v>1.0397431670795291E-3</v>
      </c>
      <c r="O21" s="43">
        <f>N21*G21</f>
        <v>3.7810999836177981E-4</v>
      </c>
      <c r="P21" s="111"/>
      <c r="Q21" s="111"/>
      <c r="R21" s="114"/>
    </row>
    <row r="22" spans="1:22" ht="14.95" thickBot="1" x14ac:dyDescent="0.3">
      <c r="A22" s="17" t="s">
        <v>18</v>
      </c>
      <c r="B22" s="17" t="s">
        <v>70</v>
      </c>
      <c r="C22" s="105"/>
      <c r="D22" s="107">
        <v>6</v>
      </c>
      <c r="E22" s="128">
        <v>5</v>
      </c>
      <c r="F22" s="28">
        <v>44.401891023290759</v>
      </c>
      <c r="G22" s="44">
        <f t="shared" si="0"/>
        <v>0.44401891023290757</v>
      </c>
      <c r="H22" s="28">
        <f t="shared" si="1"/>
        <v>-148.66070939585939</v>
      </c>
      <c r="I22" s="28">
        <f t="shared" si="2"/>
        <v>-0.83925002339492116</v>
      </c>
      <c r="J22" s="28">
        <f t="shared" si="3"/>
        <v>5.4129491128218081</v>
      </c>
      <c r="K22" s="28">
        <f t="shared" si="4"/>
        <v>1.0177599142597329</v>
      </c>
      <c r="L22" s="28">
        <f t="shared" si="5"/>
        <v>5.4511310852781769E-2</v>
      </c>
      <c r="M22" s="28">
        <f t="shared" si="6"/>
        <v>-148.96465661716505</v>
      </c>
      <c r="N22" s="41">
        <f t="shared" si="7"/>
        <v>3.9783794744142072E-2</v>
      </c>
      <c r="O22" s="41">
        <f>N22*G22</f>
        <v>1.7664757187223639E-2</v>
      </c>
      <c r="P22" s="110">
        <f t="shared" ref="P22" si="20">SUM(O22:O24)</f>
        <v>2.2776166895447161E-2</v>
      </c>
      <c r="Q22" s="110">
        <f t="shared" ref="Q22" si="21">SUM(N22:N24)</f>
        <v>5.4409346106065827E-2</v>
      </c>
      <c r="R22" s="113">
        <f t="shared" ref="R22" si="22">P22/Q22</f>
        <v>0.41860762029830678</v>
      </c>
    </row>
    <row r="23" spans="1:22" ht="14.95" thickBot="1" x14ac:dyDescent="0.3">
      <c r="A23" s="17" t="s">
        <v>19</v>
      </c>
      <c r="B23" s="17" t="s">
        <v>71</v>
      </c>
      <c r="C23" s="105"/>
      <c r="D23" s="108">
        <v>6</v>
      </c>
      <c r="E23" s="129">
        <v>15</v>
      </c>
      <c r="F23" s="39">
        <v>35.260535242507828</v>
      </c>
      <c r="G23" s="44">
        <f t="shared" si="0"/>
        <v>0.35260535242507829</v>
      </c>
      <c r="H23" s="28">
        <f t="shared" si="1"/>
        <v>-144.48584130937746</v>
      </c>
      <c r="I23" s="28">
        <f t="shared" si="2"/>
        <v>-0.82946877270948338</v>
      </c>
      <c r="J23" s="28">
        <f t="shared" si="3"/>
        <v>5.3681235606151612</v>
      </c>
      <c r="K23" s="28">
        <f t="shared" si="4"/>
        <v>1.0194928220476223</v>
      </c>
      <c r="L23" s="28">
        <f t="shared" si="5"/>
        <v>4.5357996396182279E-2</v>
      </c>
      <c r="M23" s="28">
        <f t="shared" si="6"/>
        <v>-144.75088498206298</v>
      </c>
      <c r="N23" s="41">
        <f t="shared" si="7"/>
        <v>1.3185271121459851E-2</v>
      </c>
      <c r="O23" s="42">
        <f>N23*G23</f>
        <v>4.649197170602558E-3</v>
      </c>
      <c r="P23" s="111"/>
      <c r="Q23" s="111"/>
      <c r="R23" s="114"/>
    </row>
    <row r="24" spans="1:22" ht="14.95" thickBot="1" x14ac:dyDescent="0.3">
      <c r="A24" s="17" t="s">
        <v>20</v>
      </c>
      <c r="B24" s="17" t="s">
        <v>72</v>
      </c>
      <c r="C24" s="106"/>
      <c r="D24" s="109"/>
      <c r="E24" s="130">
        <v>30</v>
      </c>
      <c r="F24" s="40">
        <v>32.091847449916266</v>
      </c>
      <c r="G24" s="44">
        <f t="shared" si="0"/>
        <v>0.32091847449916266</v>
      </c>
      <c r="H24" s="28">
        <f t="shared" si="1"/>
        <v>-142.81439916657291</v>
      </c>
      <c r="I24" s="28">
        <f t="shared" si="2"/>
        <v>-0.82607827677141044</v>
      </c>
      <c r="J24" s="28">
        <f t="shared" si="3"/>
        <v>5.3525855831554097</v>
      </c>
      <c r="K24" s="28">
        <f t="shared" si="4"/>
        <v>1.0202015321929268</v>
      </c>
      <c r="L24" s="28">
        <f t="shared" si="5"/>
        <v>4.2076888305264896E-2</v>
      </c>
      <c r="M24" s="28">
        <f t="shared" si="6"/>
        <v>-143.06411739553175</v>
      </c>
      <c r="N24" s="41">
        <f t="shared" si="7"/>
        <v>1.44028024046391E-3</v>
      </c>
      <c r="O24" s="43">
        <f>N24*G24</f>
        <v>4.622125376209652E-4</v>
      </c>
      <c r="P24" s="111"/>
      <c r="Q24" s="111"/>
      <c r="R24" s="114"/>
    </row>
    <row r="25" spans="1:22" ht="14.95" thickBot="1" x14ac:dyDescent="0.3">
      <c r="A25" s="17" t="s">
        <v>21</v>
      </c>
      <c r="B25" s="17" t="s">
        <v>73</v>
      </c>
      <c r="C25" s="104">
        <v>20</v>
      </c>
      <c r="D25" s="107">
        <v>1</v>
      </c>
      <c r="E25" s="128">
        <v>5</v>
      </c>
      <c r="F25" s="28">
        <v>51.495773900409347</v>
      </c>
      <c r="G25" s="44">
        <f t="shared" si="0"/>
        <v>0.51495773900409347</v>
      </c>
      <c r="H25" s="28">
        <f t="shared" si="1"/>
        <v>-151.40855578749279</v>
      </c>
      <c r="I25" s="28">
        <f t="shared" si="2"/>
        <v>-0.84684047807343799</v>
      </c>
      <c r="J25" s="28">
        <f t="shared" si="3"/>
        <v>5.4477346768980475</v>
      </c>
      <c r="K25" s="28">
        <f t="shared" si="4"/>
        <v>1.0166472497773549</v>
      </c>
      <c r="L25" s="28">
        <f t="shared" si="5"/>
        <v>6.1350385039223763E-2</v>
      </c>
      <c r="M25" s="28">
        <f t="shared" si="6"/>
        <v>-151.73858600400141</v>
      </c>
      <c r="N25" s="41">
        <f t="shared" si="7"/>
        <v>4.2404718283912228E-2</v>
      </c>
      <c r="O25" s="41">
        <f>N25*G25</f>
        <v>2.1836637850588984E-2</v>
      </c>
      <c r="P25" s="110">
        <f t="shared" ref="P25" si="23">SUM(O25:O27)</f>
        <v>2.6880348505788316E-2</v>
      </c>
      <c r="Q25" s="110">
        <f t="shared" ref="Q25" si="24">SUM(N25:N27)</f>
        <v>5.7690783201976792E-2</v>
      </c>
      <c r="R25" s="113">
        <f t="shared" ref="R25" si="25">P25/Q25</f>
        <v>0.46593835295457131</v>
      </c>
    </row>
    <row r="26" spans="1:22" ht="14.95" thickBot="1" x14ac:dyDescent="0.3">
      <c r="A26" s="17" t="s">
        <v>22</v>
      </c>
      <c r="B26" s="19" t="s">
        <v>74</v>
      </c>
      <c r="C26" s="105"/>
      <c r="D26" s="108"/>
      <c r="E26" s="129">
        <v>15</v>
      </c>
      <c r="F26" s="39">
        <v>33.358788123001851</v>
      </c>
      <c r="G26" s="44">
        <f t="shared" si="0"/>
        <v>0.33358788123001853</v>
      </c>
      <c r="H26" s="28">
        <f t="shared" si="1"/>
        <v>-143.49933685694447</v>
      </c>
      <c r="I26" s="28">
        <f t="shared" si="2"/>
        <v>-0.82743390329161204</v>
      </c>
      <c r="J26" s="28">
        <f t="shared" si="3"/>
        <v>5.3587981534399516</v>
      </c>
      <c r="K26" s="28">
        <f t="shared" si="4"/>
        <v>1.0199100534124221</v>
      </c>
      <c r="L26" s="28">
        <f t="shared" si="5"/>
        <v>4.3396313293731843E-2</v>
      </c>
      <c r="M26" s="28">
        <f t="shared" si="6"/>
        <v>-143.75531779102229</v>
      </c>
      <c r="N26" s="41">
        <f t="shared" si="7"/>
        <v>1.3607489595793073E-2</v>
      </c>
      <c r="O26" s="41">
        <f>N26*G26</f>
        <v>4.5392936231201325E-3</v>
      </c>
      <c r="P26" s="111"/>
      <c r="Q26" s="111"/>
      <c r="R26" s="114"/>
    </row>
    <row r="27" spans="1:22" ht="14.95" thickBot="1" x14ac:dyDescent="0.3">
      <c r="A27" s="17" t="s">
        <v>23</v>
      </c>
      <c r="B27" s="19" t="s">
        <v>75</v>
      </c>
      <c r="C27" s="105"/>
      <c r="D27" s="109"/>
      <c r="E27" s="130">
        <v>30</v>
      </c>
      <c r="F27" s="40">
        <v>30.050306672959497</v>
      </c>
      <c r="G27" s="44">
        <f t="shared" si="0"/>
        <v>0.30050306672959498</v>
      </c>
      <c r="H27" s="28">
        <f t="shared" si="1"/>
        <v>-141.6591368600009</v>
      </c>
      <c r="I27" s="28">
        <f t="shared" si="2"/>
        <v>-0.82389382814006662</v>
      </c>
      <c r="J27" s="28">
        <f t="shared" si="3"/>
        <v>5.3425746838015238</v>
      </c>
      <c r="K27" s="28">
        <f t="shared" si="4"/>
        <v>1.020696532810232</v>
      </c>
      <c r="L27" s="28">
        <f t="shared" si="5"/>
        <v>3.9928254898863133E-2</v>
      </c>
      <c r="M27" s="28">
        <f t="shared" si="6"/>
        <v>-141.89834735872267</v>
      </c>
      <c r="N27" s="41">
        <f t="shared" si="7"/>
        <v>1.6785753222714869E-3</v>
      </c>
      <c r="O27" s="41">
        <f>N27*G27</f>
        <v>5.0441703207920003E-4</v>
      </c>
      <c r="P27" s="111"/>
      <c r="Q27" s="111"/>
      <c r="R27" s="114"/>
      <c r="T27" s="22"/>
      <c r="U27" s="23" t="s">
        <v>95</v>
      </c>
      <c r="V27" s="24" t="s">
        <v>96</v>
      </c>
    </row>
    <row r="28" spans="1:22" ht="14.95" thickBot="1" x14ac:dyDescent="0.3">
      <c r="A28" s="17" t="s">
        <v>24</v>
      </c>
      <c r="B28" s="17" t="s">
        <v>76</v>
      </c>
      <c r="C28" s="105"/>
      <c r="D28" s="107">
        <v>2</v>
      </c>
      <c r="E28" s="128">
        <v>5</v>
      </c>
      <c r="F28" s="28">
        <v>53.551506315581292</v>
      </c>
      <c r="G28" s="44">
        <f t="shared" si="0"/>
        <v>0.53551506315581288</v>
      </c>
      <c r="H28" s="28">
        <f t="shared" si="1"/>
        <v>-152.14270012775521</v>
      </c>
      <c r="I28" s="28">
        <f t="shared" si="2"/>
        <v>-0.84904011175767202</v>
      </c>
      <c r="J28" s="28">
        <f t="shared" si="3"/>
        <v>5.4578151663690839</v>
      </c>
      <c r="K28" s="28">
        <f t="shared" si="4"/>
        <v>1.0163535990101629</v>
      </c>
      <c r="L28" s="28">
        <f t="shared" si="5"/>
        <v>6.3295623764495879E-2</v>
      </c>
      <c r="M28" s="28">
        <f t="shared" si="6"/>
        <v>-152.479761999017</v>
      </c>
      <c r="N28" s="41">
        <f t="shared" si="7"/>
        <v>4.3074857031510212E-2</v>
      </c>
      <c r="O28" s="41">
        <f>N28*G28</f>
        <v>2.3067234783656802E-2</v>
      </c>
      <c r="P28" s="110">
        <f t="shared" ref="P28" si="26">SUM(O28:O30)</f>
        <v>2.8126674985277482E-2</v>
      </c>
      <c r="Q28" s="110">
        <f t="shared" ref="Q28" si="27">SUM(N28:N30)</f>
        <v>5.6116357117269894E-2</v>
      </c>
      <c r="R28" s="113">
        <f t="shared" ref="R28" si="28">P28/Q28</f>
        <v>0.50122061427650044</v>
      </c>
      <c r="T28" s="24" t="s">
        <v>89</v>
      </c>
      <c r="U28" s="26">
        <v>-164.34889999999999</v>
      </c>
      <c r="V28" s="26">
        <v>0.12357</v>
      </c>
    </row>
    <row r="29" spans="1:22" ht="14.95" thickBot="1" x14ac:dyDescent="0.3">
      <c r="A29" s="17" t="s">
        <v>25</v>
      </c>
      <c r="B29" s="17" t="s">
        <v>77</v>
      </c>
      <c r="C29" s="105"/>
      <c r="D29" s="108"/>
      <c r="E29" s="129">
        <v>15</v>
      </c>
      <c r="F29" s="39">
        <v>38.588672358547498</v>
      </c>
      <c r="G29" s="44">
        <f t="shared" si="0"/>
        <v>0.38588672358547499</v>
      </c>
      <c r="H29" s="28">
        <f t="shared" si="1"/>
        <v>-146.10519011516286</v>
      </c>
      <c r="I29" s="28">
        <f t="shared" si="2"/>
        <v>-0.83302987942364581</v>
      </c>
      <c r="J29" s="28">
        <f t="shared" si="3"/>
        <v>5.3844434137773733</v>
      </c>
      <c r="K29" s="28">
        <f t="shared" si="4"/>
        <v>1.0188144379717141</v>
      </c>
      <c r="L29" s="28">
        <f t="shared" si="5"/>
        <v>4.8740495737368383E-2</v>
      </c>
      <c r="M29" s="28">
        <f t="shared" si="6"/>
        <v>-146.38521866276471</v>
      </c>
      <c r="N29" s="41">
        <f t="shared" si="7"/>
        <v>1.2417364737130634E-2</v>
      </c>
      <c r="O29" s="41">
        <f>N29*G29</f>
        <v>4.7916961939771536E-3</v>
      </c>
      <c r="P29" s="111"/>
      <c r="Q29" s="111"/>
      <c r="R29" s="114"/>
      <c r="T29" s="24" t="s">
        <v>90</v>
      </c>
      <c r="U29" s="26">
        <v>-0.107</v>
      </c>
      <c r="V29" s="26">
        <v>-0.79174</v>
      </c>
    </row>
    <row r="30" spans="1:22" ht="14.95" thickBot="1" x14ac:dyDescent="0.3">
      <c r="A30" s="17" t="s">
        <v>26</v>
      </c>
      <c r="B30" s="17" t="s">
        <v>78</v>
      </c>
      <c r="C30" s="105"/>
      <c r="D30" s="109"/>
      <c r="E30" s="130">
        <v>30</v>
      </c>
      <c r="F30" s="40">
        <v>42.898388663875934</v>
      </c>
      <c r="G30" s="44">
        <f t="shared" si="0"/>
        <v>0.42898388663875936</v>
      </c>
      <c r="H30" s="28">
        <f t="shared" si="1"/>
        <v>-148.02924821173153</v>
      </c>
      <c r="I30" s="28">
        <f t="shared" si="2"/>
        <v>-0.8376412758703472</v>
      </c>
      <c r="J30" s="28">
        <f t="shared" si="3"/>
        <v>5.4055765386521824</v>
      </c>
      <c r="K30" s="28">
        <f t="shared" si="4"/>
        <v>1.0180186868819847</v>
      </c>
      <c r="L30" s="28">
        <f t="shared" si="5"/>
        <v>5.303428091566266E-2</v>
      </c>
      <c r="M30" s="28">
        <f t="shared" si="6"/>
        <v>-148.32725460605349</v>
      </c>
      <c r="N30" s="41">
        <f t="shared" si="7"/>
        <v>6.2413534862904528E-4</v>
      </c>
      <c r="O30" s="41">
        <f>N30*G30</f>
        <v>2.6774400764352491E-4</v>
      </c>
      <c r="P30" s="111"/>
      <c r="Q30" s="111"/>
      <c r="R30" s="114"/>
      <c r="T30" s="24" t="s">
        <v>175</v>
      </c>
      <c r="U30" s="26">
        <v>0.49036000000000002</v>
      </c>
      <c r="V30" s="26">
        <v>5.1952199999999999</v>
      </c>
    </row>
    <row r="31" spans="1:22" ht="14.95" thickBot="1" x14ac:dyDescent="0.3">
      <c r="A31" s="17" t="s">
        <v>27</v>
      </c>
      <c r="B31" s="17" t="s">
        <v>79</v>
      </c>
      <c r="C31" s="105"/>
      <c r="D31" s="107">
        <v>3</v>
      </c>
      <c r="E31" s="128">
        <v>5</v>
      </c>
      <c r="F31" s="28">
        <v>51.912605719563345</v>
      </c>
      <c r="G31" s="44">
        <f t="shared" si="0"/>
        <v>0.51912605719563343</v>
      </c>
      <c r="H31" s="28">
        <f t="shared" si="1"/>
        <v>-151.55946553217913</v>
      </c>
      <c r="I31" s="28">
        <f t="shared" si="2"/>
        <v>-0.84728648811993279</v>
      </c>
      <c r="J31" s="28">
        <f t="shared" si="3"/>
        <v>5.449778653406451</v>
      </c>
      <c r="K31" s="28">
        <f t="shared" si="4"/>
        <v>1.0165867642862565</v>
      </c>
      <c r="L31" s="28">
        <f t="shared" si="5"/>
        <v>6.1746065027449844E-2</v>
      </c>
      <c r="M31" s="28">
        <f t="shared" si="6"/>
        <v>-151.89093900962683</v>
      </c>
      <c r="N31" s="41">
        <f t="shared" si="7"/>
        <v>4.2543769975918931E-2</v>
      </c>
      <c r="O31" s="41">
        <f>N31*G31</f>
        <v>2.2085579565836764E-2</v>
      </c>
      <c r="P31" s="110">
        <f t="shared" ref="P31" si="29">SUM(O31:O33)</f>
        <v>2.7243202052795797E-2</v>
      </c>
      <c r="Q31" s="110">
        <f t="shared" ref="Q31" si="30">SUM(N31:N33)</f>
        <v>5.5906859360750238E-2</v>
      </c>
      <c r="R31" s="113">
        <f t="shared" ref="R31" si="31">P31/Q31</f>
        <v>0.48729623456405524</v>
      </c>
      <c r="T31" s="24" t="s">
        <v>176</v>
      </c>
      <c r="U31" s="26">
        <v>1.0116799999999999</v>
      </c>
      <c r="V31" s="26">
        <v>-7.3800000000000003E-3</v>
      </c>
    </row>
    <row r="32" spans="1:22" ht="14.95" thickBot="1" x14ac:dyDescent="0.3">
      <c r="A32" s="17" t="s">
        <v>28</v>
      </c>
      <c r="B32" s="17" t="s">
        <v>80</v>
      </c>
      <c r="C32" s="105"/>
      <c r="D32" s="108"/>
      <c r="E32" s="129">
        <v>15</v>
      </c>
      <c r="F32" s="39">
        <v>38.703234244869371</v>
      </c>
      <c r="G32" s="44">
        <f t="shared" si="0"/>
        <v>0.38703234244869372</v>
      </c>
      <c r="H32" s="28">
        <f t="shared" si="1"/>
        <v>-146.15871979986667</v>
      </c>
      <c r="I32" s="28">
        <f t="shared" si="2"/>
        <v>-0.83315246064201021</v>
      </c>
      <c r="J32" s="28">
        <f t="shared" si="3"/>
        <v>5.3850051794431417</v>
      </c>
      <c r="K32" s="28">
        <f t="shared" si="4"/>
        <v>1.0187921493531849</v>
      </c>
      <c r="L32" s="28">
        <f t="shared" si="5"/>
        <v>4.8855849662504273E-2</v>
      </c>
      <c r="M32" s="28">
        <f t="shared" si="6"/>
        <v>-146.43924597792562</v>
      </c>
      <c r="N32" s="41">
        <f t="shared" si="7"/>
        <v>1.2390469193211686E-2</v>
      </c>
      <c r="O32" s="41">
        <f>N32*G32</f>
        <v>4.7955123158870952E-3</v>
      </c>
      <c r="P32" s="111"/>
      <c r="Q32" s="111"/>
      <c r="R32" s="114"/>
      <c r="T32" s="24" t="s">
        <v>177</v>
      </c>
      <c r="U32" s="26">
        <v>0.10415000000000001</v>
      </c>
      <c r="V32" s="26">
        <v>0.79742999999999997</v>
      </c>
    </row>
    <row r="33" spans="1:29" ht="14.95" thickBot="1" x14ac:dyDescent="0.3">
      <c r="A33" s="17" t="s">
        <v>29</v>
      </c>
      <c r="B33" s="17">
        <v>1</v>
      </c>
      <c r="C33" s="105"/>
      <c r="D33" s="109"/>
      <c r="E33" s="130">
        <v>30</v>
      </c>
      <c r="F33" s="40">
        <v>37.230377714958308</v>
      </c>
      <c r="G33" s="44">
        <f t="shared" si="0"/>
        <v>0.37230377714958307</v>
      </c>
      <c r="H33" s="28">
        <f t="shared" si="1"/>
        <v>-145.45967021463196</v>
      </c>
      <c r="I33" s="28">
        <f t="shared" si="2"/>
        <v>-0.83157650415500539</v>
      </c>
      <c r="J33" s="28">
        <f t="shared" si="3"/>
        <v>5.3777828801630694</v>
      </c>
      <c r="K33" s="28">
        <f t="shared" si="4"/>
        <v>1.0190839021205107</v>
      </c>
      <c r="L33" s="28">
        <f t="shared" si="5"/>
        <v>4.7367451782656771E-2</v>
      </c>
      <c r="M33" s="28">
        <f t="shared" si="6"/>
        <v>-145.73370927952854</v>
      </c>
      <c r="N33" s="41">
        <f t="shared" si="7"/>
        <v>9.7262019161962251E-4</v>
      </c>
      <c r="O33" s="41">
        <f>N33*G33</f>
        <v>3.6211017107193674E-4</v>
      </c>
      <c r="P33" s="111"/>
      <c r="Q33" s="111"/>
      <c r="R33" s="114"/>
      <c r="T33" s="122" t="s">
        <v>178</v>
      </c>
      <c r="U33" s="123">
        <v>-164.80663999999999</v>
      </c>
      <c r="V33" s="123">
        <v>0.12447999999999999</v>
      </c>
    </row>
    <row r="34" spans="1:29" ht="14.95" thickBot="1" x14ac:dyDescent="0.3">
      <c r="A34" s="17" t="s">
        <v>30</v>
      </c>
      <c r="B34" s="17">
        <v>2</v>
      </c>
      <c r="C34" s="105"/>
      <c r="D34" s="107">
        <v>4</v>
      </c>
      <c r="E34" s="128">
        <v>5</v>
      </c>
      <c r="F34" s="28">
        <v>53.373299921380223</v>
      </c>
      <c r="G34" s="44">
        <f t="shared" si="0"/>
        <v>0.53373299921380224</v>
      </c>
      <c r="H34" s="28">
        <f t="shared" si="1"/>
        <v>-152.08004596429544</v>
      </c>
      <c r="I34" s="28">
        <f t="shared" si="2"/>
        <v>-0.84884943091587683</v>
      </c>
      <c r="J34" s="28">
        <f t="shared" si="3"/>
        <v>5.4569413134944798</v>
      </c>
      <c r="K34" s="28">
        <f t="shared" si="4"/>
        <v>1.0163786014126246</v>
      </c>
      <c r="L34" s="28">
        <f t="shared" si="5"/>
        <v>6.3127602442882777E-2</v>
      </c>
      <c r="M34" s="28">
        <f t="shared" si="6"/>
        <v>-152.41650670248524</v>
      </c>
      <c r="N34" s="41">
        <f t="shared" si="7"/>
        <v>4.3018310366604189E-2</v>
      </c>
      <c r="O34" s="41">
        <f>N34*G34</f>
        <v>2.2960291813077856E-2</v>
      </c>
      <c r="P34" s="110">
        <f t="shared" ref="P34" si="32">SUM(O34:O36)</f>
        <v>2.8074349973513223E-2</v>
      </c>
      <c r="Q34" s="110">
        <f t="shared" ref="Q34" si="33">SUM(N34:N36)</f>
        <v>5.2741681865101898E-2</v>
      </c>
      <c r="R34" s="113">
        <f t="shared" ref="R34" si="34">P34/Q34</f>
        <v>0.53229910349312259</v>
      </c>
    </row>
    <row r="35" spans="1:29" ht="14.95" thickBot="1" x14ac:dyDescent="0.3">
      <c r="A35" s="17" t="s">
        <v>31</v>
      </c>
      <c r="B35" s="17">
        <v>3</v>
      </c>
      <c r="C35" s="105"/>
      <c r="D35" s="108"/>
      <c r="E35" s="129">
        <v>15</v>
      </c>
      <c r="F35" s="39">
        <v>54.458164876836292</v>
      </c>
      <c r="G35" s="44">
        <f t="shared" si="0"/>
        <v>0.5445816487683629</v>
      </c>
      <c r="H35" s="28">
        <f t="shared" si="1"/>
        <v>-152.4586630029462</v>
      </c>
      <c r="I35" s="28">
        <f t="shared" si="2"/>
        <v>-0.85001023641821483</v>
      </c>
      <c r="J35" s="28">
        <f t="shared" si="3"/>
        <v>5.4622610572900543</v>
      </c>
      <c r="K35" s="28">
        <f t="shared" si="4"/>
        <v>1.01622767875185</v>
      </c>
      <c r="L35" s="28">
        <f t="shared" si="5"/>
        <v>6.4148719895159592E-2</v>
      </c>
      <c r="M35" s="28">
        <f t="shared" si="6"/>
        <v>-152.79875928982531</v>
      </c>
      <c r="N35" s="41">
        <f t="shared" si="7"/>
        <v>8.7062761067137392E-3</v>
      </c>
      <c r="O35" s="41">
        <f>N35*G35</f>
        <v>4.7412781968267717E-3</v>
      </c>
      <c r="P35" s="111"/>
      <c r="Q35" s="111"/>
      <c r="R35" s="114"/>
    </row>
    <row r="36" spans="1:29" ht="14.95" thickBot="1" x14ac:dyDescent="0.3">
      <c r="A36" s="17" t="s">
        <v>32</v>
      </c>
      <c r="B36" s="17">
        <v>4</v>
      </c>
      <c r="C36" s="105"/>
      <c r="D36" s="109"/>
      <c r="E36" s="130">
        <v>30</v>
      </c>
      <c r="F36" s="40">
        <v>36.651425876066924</v>
      </c>
      <c r="G36" s="44">
        <f t="shared" si="0"/>
        <v>0.36651425876066923</v>
      </c>
      <c r="H36" s="28">
        <f t="shared" si="1"/>
        <v>-145.17823463328386</v>
      </c>
      <c r="I36" s="28">
        <f t="shared" si="2"/>
        <v>-0.8309570256873916</v>
      </c>
      <c r="J36" s="28">
        <f t="shared" si="3"/>
        <v>5.3749439319258814</v>
      </c>
      <c r="K36" s="28">
        <f t="shared" si="4"/>
        <v>1.0192017807977491</v>
      </c>
      <c r="L36" s="28">
        <f t="shared" si="5"/>
        <v>4.6779142945601301E-2</v>
      </c>
      <c r="M36" s="28">
        <f t="shared" si="6"/>
        <v>-145.44966904612605</v>
      </c>
      <c r="N36" s="41">
        <f t="shared" si="7"/>
        <v>1.0170953917839722E-3</v>
      </c>
      <c r="O36" s="41">
        <f>N36*G36</f>
        <v>3.7277996360859505E-4</v>
      </c>
      <c r="P36" s="111"/>
      <c r="Q36" s="111"/>
      <c r="R36" s="114"/>
    </row>
    <row r="37" spans="1:29" ht="14.95" thickBot="1" x14ac:dyDescent="0.3">
      <c r="A37" s="17" t="s">
        <v>33</v>
      </c>
      <c r="B37" s="17">
        <v>5</v>
      </c>
      <c r="C37" s="105"/>
      <c r="D37" s="107">
        <v>5</v>
      </c>
      <c r="E37" s="128">
        <v>5</v>
      </c>
      <c r="F37" s="28">
        <v>65.193436793004437</v>
      </c>
      <c r="G37" s="44">
        <f t="shared" si="0"/>
        <v>0.65193436793004433</v>
      </c>
      <c r="H37" s="28">
        <f t="shared" si="1"/>
        <v>-155.8863091779545</v>
      </c>
      <c r="I37" s="28">
        <f t="shared" si="2"/>
        <v>-0.86149697736851472</v>
      </c>
      <c r="J37" s="28">
        <f t="shared" si="3"/>
        <v>5.5149025366581768</v>
      </c>
      <c r="K37" s="28">
        <f t="shared" si="4"/>
        <v>1.0148791723094595</v>
      </c>
      <c r="L37" s="28">
        <f t="shared" si="5"/>
        <v>7.4045704810418791E-2</v>
      </c>
      <c r="M37" s="28">
        <f t="shared" si="6"/>
        <v>-156.25963437961551</v>
      </c>
      <c r="N37" s="41">
        <f t="shared" si="7"/>
        <v>4.6158263851715217E-2</v>
      </c>
      <c r="O37" s="41">
        <f>N37*G37</f>
        <v>3.0092158568916175E-2</v>
      </c>
      <c r="P37" s="110">
        <f t="shared" ref="P37" si="35">SUM(O37:O39)</f>
        <v>3.521997598130118E-2</v>
      </c>
      <c r="Q37" s="110">
        <f t="shared" ref="Q37" si="36">SUM(N37:N39)</f>
        <v>5.7696707640262593E-2</v>
      </c>
      <c r="R37" s="113">
        <f t="shared" ref="R37" si="37">P37/Q37</f>
        <v>0.6104330285342584</v>
      </c>
    </row>
    <row r="38" spans="1:29" ht="14.95" thickBot="1" x14ac:dyDescent="0.3">
      <c r="A38" s="17" t="s">
        <v>34</v>
      </c>
      <c r="B38" s="17">
        <v>6</v>
      </c>
      <c r="C38" s="105"/>
      <c r="D38" s="108"/>
      <c r="E38" s="129">
        <v>15</v>
      </c>
      <c r="F38" s="39">
        <v>44.381829983457912</v>
      </c>
      <c r="G38" s="44">
        <f t="shared" si="0"/>
        <v>0.4438182998345791</v>
      </c>
      <c r="H38" s="28">
        <f t="shared" si="1"/>
        <v>-148.65240807458306</v>
      </c>
      <c r="I38" s="28">
        <f t="shared" si="2"/>
        <v>-0.83922855808230001</v>
      </c>
      <c r="J38" s="28">
        <f t="shared" si="3"/>
        <v>5.4128507415068841</v>
      </c>
      <c r="K38" s="28">
        <f t="shared" si="4"/>
        <v>1.0177633085777409</v>
      </c>
      <c r="L38" s="28">
        <f t="shared" si="5"/>
        <v>5.4491670420305928E-2</v>
      </c>
      <c r="M38" s="28">
        <f t="shared" si="6"/>
        <v>-148.95627706700873</v>
      </c>
      <c r="N38" s="41">
        <f t="shared" si="7"/>
        <v>1.1041446319539253E-2</v>
      </c>
      <c r="O38" s="41">
        <f>N38*G38</f>
        <v>4.9003959332526818E-3</v>
      </c>
      <c r="P38" s="111"/>
      <c r="Q38" s="111"/>
      <c r="R38" s="114"/>
    </row>
    <row r="39" spans="1:29" ht="14.95" thickBot="1" x14ac:dyDescent="0.3">
      <c r="A39" s="17" t="s">
        <v>35</v>
      </c>
      <c r="B39" s="17">
        <v>7</v>
      </c>
      <c r="C39" s="106"/>
      <c r="D39" s="109"/>
      <c r="E39" s="130">
        <v>30</v>
      </c>
      <c r="F39" s="40">
        <v>45.759081949893634</v>
      </c>
      <c r="G39" s="44">
        <f t="shared" si="0"/>
        <v>0.45759081949893632</v>
      </c>
      <c r="H39" s="28">
        <f t="shared" si="1"/>
        <v>-149.21482776558327</v>
      </c>
      <c r="I39" s="28">
        <f t="shared" si="2"/>
        <v>-0.8407022176863862</v>
      </c>
      <c r="J39" s="28">
        <f t="shared" si="3"/>
        <v>5.4196042342494986</v>
      </c>
      <c r="K39" s="28">
        <f t="shared" si="4"/>
        <v>1.0175337944487486</v>
      </c>
      <c r="L39" s="28">
        <f t="shared" si="5"/>
        <v>5.5835921733717313E-2</v>
      </c>
      <c r="M39" s="28">
        <f t="shared" si="6"/>
        <v>-149.52400459576239</v>
      </c>
      <c r="N39" s="41">
        <f t="shared" si="7"/>
        <v>4.9699746900812183E-4</v>
      </c>
      <c r="O39" s="41">
        <f>N39*G39</f>
        <v>2.2742147913232366E-4</v>
      </c>
      <c r="P39" s="111"/>
      <c r="Q39" s="111"/>
      <c r="R39" s="114"/>
    </row>
    <row r="40" spans="1:29" ht="14.95" thickBot="1" x14ac:dyDescent="0.3">
      <c r="A40" s="17" t="s">
        <v>36</v>
      </c>
      <c r="B40" s="17">
        <v>8</v>
      </c>
      <c r="C40" s="104">
        <v>50</v>
      </c>
      <c r="D40" s="107">
        <v>1</v>
      </c>
      <c r="E40" s="128">
        <v>5</v>
      </c>
      <c r="F40" s="28">
        <v>65.060852867784178</v>
      </c>
      <c r="G40" s="44">
        <f t="shared" si="0"/>
        <v>0.6506085286778418</v>
      </c>
      <c r="H40" s="28">
        <f t="shared" si="1"/>
        <v>-155.8470993099684</v>
      </c>
      <c r="I40" s="28">
        <f t="shared" si="2"/>
        <v>-0.86135511256852904</v>
      </c>
      <c r="J40" s="28">
        <f t="shared" si="3"/>
        <v>5.5142523981224665</v>
      </c>
      <c r="K40" s="28">
        <f t="shared" si="4"/>
        <v>1.014894419960614</v>
      </c>
      <c r="L40" s="28">
        <f t="shared" si="5"/>
        <v>7.3925597633580115E-2</v>
      </c>
      <c r="M40" s="28">
        <f t="shared" si="6"/>
        <v>-156.22004120366043</v>
      </c>
      <c r="N40" s="41">
        <f t="shared" si="7"/>
        <v>4.6129692626152873E-2</v>
      </c>
      <c r="O40" s="41">
        <f>N40*G40</f>
        <v>3.001237144786241E-2</v>
      </c>
      <c r="P40" s="110">
        <f t="shared" ref="P40" si="38">SUM(O40:O42)</f>
        <v>3.5185043147097424E-2</v>
      </c>
      <c r="Q40" s="110">
        <f t="shared" ref="Q40" si="39">SUM(N40:N42)</f>
        <v>5.8493155142723567E-2</v>
      </c>
      <c r="R40" s="113">
        <f t="shared" ref="R40" si="40">P40/Q40</f>
        <v>0.60152411100488179</v>
      </c>
    </row>
    <row r="41" spans="1:29" ht="18.350000000000001" thickBot="1" x14ac:dyDescent="0.4">
      <c r="A41" s="17" t="s">
        <v>39</v>
      </c>
      <c r="B41" s="17">
        <v>9</v>
      </c>
      <c r="C41" s="105"/>
      <c r="D41" s="108"/>
      <c r="E41" s="129">
        <v>15</v>
      </c>
      <c r="F41" s="39">
        <v>41.895741564354694</v>
      </c>
      <c r="G41" s="44">
        <f t="shared" si="0"/>
        <v>0.41895741564354694</v>
      </c>
      <c r="H41" s="28">
        <f t="shared" si="1"/>
        <v>-147.59727314072757</v>
      </c>
      <c r="I41" s="28">
        <f t="shared" si="2"/>
        <v>-0.8365684434738595</v>
      </c>
      <c r="J41" s="28">
        <f t="shared" si="3"/>
        <v>5.4006599583349697</v>
      </c>
      <c r="K41" s="28">
        <f t="shared" si="4"/>
        <v>1.0181963848912563</v>
      </c>
      <c r="L41" s="28">
        <f t="shared" si="5"/>
        <v>5.2043464941105073E-2</v>
      </c>
      <c r="M41" s="28">
        <f t="shared" si="6"/>
        <v>-147.89122701501614</v>
      </c>
      <c r="N41" s="41">
        <f t="shared" si="7"/>
        <v>1.1634123478092378E-2</v>
      </c>
      <c r="O41" s="41">
        <f>N41*G41</f>
        <v>4.8742023056594962E-3</v>
      </c>
      <c r="P41" s="111"/>
      <c r="Q41" s="111"/>
      <c r="R41" s="114"/>
      <c r="T41" s="27" t="s">
        <v>111</v>
      </c>
      <c r="V41" t="s">
        <v>119</v>
      </c>
      <c r="X41" t="s">
        <v>108</v>
      </c>
      <c r="AC41">
        <v>-0.85705645800797703</v>
      </c>
    </row>
    <row r="42" spans="1:29" ht="14.95" thickBot="1" x14ac:dyDescent="0.3">
      <c r="A42" s="17" t="s">
        <v>40</v>
      </c>
      <c r="B42" s="17">
        <v>10</v>
      </c>
      <c r="C42" s="105"/>
      <c r="D42" s="109"/>
      <c r="E42" s="130">
        <v>30</v>
      </c>
      <c r="F42" s="40">
        <v>40.923271322241732</v>
      </c>
      <c r="G42" s="44">
        <f t="shared" si="0"/>
        <v>0.40923271322241733</v>
      </c>
      <c r="H42" s="28">
        <f t="shared" si="1"/>
        <v>-147.16955508700755</v>
      </c>
      <c r="I42" s="28">
        <f t="shared" si="2"/>
        <v>-0.83552790031479862</v>
      </c>
      <c r="J42" s="28">
        <f t="shared" si="3"/>
        <v>5.3958913532557444</v>
      </c>
      <c r="K42" s="28">
        <f t="shared" si="4"/>
        <v>1.0183728755714254</v>
      </c>
      <c r="L42" s="28">
        <f t="shared" si="5"/>
        <v>5.107787076346041E-2</v>
      </c>
      <c r="M42" s="28">
        <f t="shared" si="6"/>
        <v>-147.45950563702351</v>
      </c>
      <c r="N42" s="41">
        <f t="shared" si="7"/>
        <v>7.2933903847832205E-4</v>
      </c>
      <c r="O42" s="41">
        <f>N42*G42</f>
        <v>2.9846939357551277E-4</v>
      </c>
      <c r="P42" s="111"/>
      <c r="Q42" s="111"/>
      <c r="R42" s="114"/>
      <c r="T42">
        <f>18/9.81</f>
        <v>1.8348623853211008</v>
      </c>
      <c r="V42">
        <v>1.54</v>
      </c>
      <c r="X42">
        <v>995.25</v>
      </c>
    </row>
    <row r="43" spans="1:29" ht="14.95" thickBot="1" x14ac:dyDescent="0.3">
      <c r="A43" s="17" t="s">
        <v>41</v>
      </c>
      <c r="B43" s="17">
        <v>11</v>
      </c>
      <c r="C43" s="105"/>
      <c r="D43" s="107">
        <v>2</v>
      </c>
      <c r="E43" s="128">
        <v>5</v>
      </c>
      <c r="F43" s="28">
        <v>54.071375268864415</v>
      </c>
      <c r="G43" s="44">
        <f t="shared" si="0"/>
        <v>0.54071375268864419</v>
      </c>
      <c r="H43" s="28">
        <f t="shared" si="1"/>
        <v>-152.3244382616692</v>
      </c>
      <c r="I43" s="28">
        <f t="shared" si="2"/>
        <v>-0.84959637153768497</v>
      </c>
      <c r="J43" s="28">
        <f t="shared" si="3"/>
        <v>5.4603643957684032</v>
      </c>
      <c r="K43" s="28">
        <f t="shared" si="4"/>
        <v>1.0162811373385316</v>
      </c>
      <c r="L43" s="28">
        <f t="shared" si="5"/>
        <v>6.3785135227301615E-2</v>
      </c>
      <c r="M43" s="28">
        <f t="shared" si="6"/>
        <v>-152.66324489775312</v>
      </c>
      <c r="N43" s="41">
        <f t="shared" si="7"/>
        <v>4.3238152752416506E-2</v>
      </c>
      <c r="O43" s="41">
        <f>N43*G43</f>
        <v>2.3379463834083958E-2</v>
      </c>
      <c r="P43" s="110">
        <f t="shared" ref="P43" si="41">SUM(O43:O45)</f>
        <v>2.8563284266020023E-2</v>
      </c>
      <c r="Q43" s="110">
        <f t="shared" ref="Q43" si="42">SUM(N43:N45)</f>
        <v>5.6170925599642332E-2</v>
      </c>
      <c r="R43" s="113">
        <f t="shared" ref="R43" si="43">P43/Q43</f>
        <v>0.50850656208880241</v>
      </c>
    </row>
    <row r="44" spans="1:29" ht="14.95" thickBot="1" x14ac:dyDescent="0.3">
      <c r="A44" s="17" t="s">
        <v>37</v>
      </c>
      <c r="B44" s="17">
        <v>12</v>
      </c>
      <c r="C44" s="105"/>
      <c r="D44" s="108"/>
      <c r="E44" s="129">
        <v>15</v>
      </c>
      <c r="F44" s="39">
        <v>40.222331196577407</v>
      </c>
      <c r="G44" s="44">
        <f t="shared" si="0"/>
        <v>0.4022233119657741</v>
      </c>
      <c r="H44" s="28">
        <f t="shared" si="1"/>
        <v>-146.85570355182551</v>
      </c>
      <c r="I44" s="28">
        <f t="shared" si="2"/>
        <v>-0.83477789438033778</v>
      </c>
      <c r="J44" s="28">
        <f t="shared" si="3"/>
        <v>5.3924542232555366</v>
      </c>
      <c r="K44" s="28">
        <f t="shared" si="4"/>
        <v>1.0185027272602918</v>
      </c>
      <c r="L44" s="28">
        <f t="shared" si="5"/>
        <v>5.0379004751969797E-2</v>
      </c>
      <c r="M44" s="28">
        <f t="shared" si="6"/>
        <v>-147.14272241318463</v>
      </c>
      <c r="N44" s="41">
        <f t="shared" si="7"/>
        <v>1.2031924909894949E-2</v>
      </c>
      <c r="O44" s="41">
        <f>N44*G44</f>
        <v>4.8395206865814444E-3</v>
      </c>
      <c r="P44" s="111"/>
      <c r="Q44" s="111"/>
      <c r="R44" s="114"/>
    </row>
    <row r="45" spans="1:29" ht="14.95" thickBot="1" x14ac:dyDescent="0.3">
      <c r="A45" s="17" t="s">
        <v>38</v>
      </c>
      <c r="B45" s="17">
        <v>13</v>
      </c>
      <c r="C45" s="105"/>
      <c r="D45" s="109"/>
      <c r="E45" s="130">
        <v>30</v>
      </c>
      <c r="F45" s="40">
        <v>38.219518643151645</v>
      </c>
      <c r="G45" s="44">
        <f t="shared" si="0"/>
        <v>0.38219518643151645</v>
      </c>
      <c r="H45" s="28">
        <f t="shared" si="1"/>
        <v>-145.93174829058657</v>
      </c>
      <c r="I45" s="28">
        <f t="shared" si="2"/>
        <v>-0.83263488494817228</v>
      </c>
      <c r="J45" s="28">
        <f t="shared" si="3"/>
        <v>5.3826332316185583</v>
      </c>
      <c r="K45" s="28">
        <f t="shared" si="4"/>
        <v>1.0188867149360892</v>
      </c>
      <c r="L45" s="28">
        <f t="shared" si="5"/>
        <v>4.8368316503915383E-2</v>
      </c>
      <c r="M45" s="28">
        <f t="shared" si="6"/>
        <v>-146.21016546461829</v>
      </c>
      <c r="N45" s="41">
        <f t="shared" si="7"/>
        <v>9.0084793733087717E-4</v>
      </c>
      <c r="O45" s="41">
        <f>N45*G45</f>
        <v>3.4429974535462167E-4</v>
      </c>
      <c r="P45" s="111"/>
      <c r="Q45" s="111"/>
      <c r="R45" s="114"/>
    </row>
    <row r="46" spans="1:29" ht="14.95" thickBot="1" x14ac:dyDescent="0.3">
      <c r="A46" s="17" t="s">
        <v>42</v>
      </c>
      <c r="B46" s="17">
        <v>14</v>
      </c>
      <c r="C46" s="105"/>
      <c r="D46" s="107">
        <v>3</v>
      </c>
      <c r="E46" s="128">
        <v>5</v>
      </c>
      <c r="F46" s="28">
        <v>65.432923601147479</v>
      </c>
      <c r="G46" s="44">
        <f t="shared" si="0"/>
        <v>0.65432923601147475</v>
      </c>
      <c r="H46" s="28">
        <f t="shared" si="1"/>
        <v>-155.9569573071843</v>
      </c>
      <c r="I46" s="28">
        <f t="shared" si="2"/>
        <v>-0.86175322825322775</v>
      </c>
      <c r="J46" s="28">
        <f t="shared" si="3"/>
        <v>5.5160768841705865</v>
      </c>
      <c r="K46" s="28">
        <f t="shared" si="4"/>
        <v>1.014851709429587</v>
      </c>
      <c r="L46" s="28">
        <f t="shared" si="5"/>
        <v>7.4262529523928658E-2</v>
      </c>
      <c r="M46" s="28">
        <f t="shared" si="6"/>
        <v>-156.33097333618741</v>
      </c>
      <c r="N46" s="41">
        <f t="shared" si="7"/>
        <v>4.6209503141229166E-2</v>
      </c>
      <c r="O46" s="41">
        <f>N46*G46</f>
        <v>3.0236228886870324E-2</v>
      </c>
      <c r="P46" s="110">
        <f t="shared" ref="P46" si="44">SUM(O46:O48)</f>
        <v>3.5333787293620154E-2</v>
      </c>
      <c r="Q46" s="110">
        <f t="shared" ref="Q46" si="45">SUM(N46:N48)</f>
        <v>5.8616341767970093E-2</v>
      </c>
      <c r="R46" s="113">
        <f t="shared" ref="R46" si="46">P46/Q46</f>
        <v>0.60279755146589009</v>
      </c>
    </row>
    <row r="47" spans="1:29" ht="14.95" thickBot="1" x14ac:dyDescent="0.3">
      <c r="A47" s="17" t="s">
        <v>43</v>
      </c>
      <c r="B47" s="17">
        <v>15</v>
      </c>
      <c r="C47" s="105"/>
      <c r="D47" s="108"/>
      <c r="E47" s="129">
        <v>15</v>
      </c>
      <c r="F47" s="39">
        <v>40.922055329286422</v>
      </c>
      <c r="G47" s="44">
        <f t="shared" si="0"/>
        <v>0.40922055329286422</v>
      </c>
      <c r="H47" s="28">
        <f t="shared" si="1"/>
        <v>-147.16901470933732</v>
      </c>
      <c r="I47" s="28">
        <f t="shared" si="2"/>
        <v>-0.83552659920233652</v>
      </c>
      <c r="J47" s="28">
        <f t="shared" si="3"/>
        <v>5.3958853905126887</v>
      </c>
      <c r="K47" s="28">
        <f t="shared" si="4"/>
        <v>1.0183730988928557</v>
      </c>
      <c r="L47" s="28">
        <f t="shared" si="5"/>
        <v>5.1076660479220472E-2</v>
      </c>
      <c r="M47" s="28">
        <f t="shared" si="6"/>
        <v>-147.45896020740435</v>
      </c>
      <c r="N47" s="41">
        <f t="shared" si="7"/>
        <v>1.1865844589740085E-2</v>
      </c>
      <c r="O47" s="41">
        <f>N47*G47</f>
        <v>4.8557474883005767E-3</v>
      </c>
      <c r="P47" s="111"/>
      <c r="Q47" s="111"/>
      <c r="R47" s="114"/>
    </row>
    <row r="48" spans="1:29" ht="14.95" thickBot="1" x14ac:dyDescent="0.3">
      <c r="A48" s="18" t="s">
        <v>43</v>
      </c>
      <c r="B48" s="18">
        <v>16</v>
      </c>
      <c r="C48" s="106"/>
      <c r="D48" s="109"/>
      <c r="E48" s="130">
        <v>30</v>
      </c>
      <c r="F48" s="40">
        <v>44.697520103882297</v>
      </c>
      <c r="G48" s="55">
        <f t="shared" si="0"/>
        <v>0.44697520103882299</v>
      </c>
      <c r="H48" s="28">
        <f t="shared" si="1"/>
        <v>-148.78266204256209</v>
      </c>
      <c r="I48" s="28">
        <f t="shared" si="2"/>
        <v>-0.83956634651115403</v>
      </c>
      <c r="J48" s="28">
        <f t="shared" si="3"/>
        <v>5.4143987595813972</v>
      </c>
      <c r="K48" s="28">
        <f t="shared" si="4"/>
        <v>1.0177100723152102</v>
      </c>
      <c r="L48" s="28">
        <f t="shared" si="5"/>
        <v>5.4800533763456082E-2</v>
      </c>
      <c r="M48" s="28">
        <f t="shared" si="6"/>
        <v>-149.08775890194468</v>
      </c>
      <c r="N48" s="41">
        <f t="shared" si="7"/>
        <v>5.409940370008394E-4</v>
      </c>
      <c r="O48" s="56">
        <f>N48*G48</f>
        <v>2.4181091844925463E-4</v>
      </c>
      <c r="P48" s="112"/>
      <c r="Q48" s="112"/>
      <c r="R48" s="115"/>
    </row>
  </sheetData>
  <mergeCells count="59">
    <mergeCell ref="R37:R39"/>
    <mergeCell ref="R40:R42"/>
    <mergeCell ref="R43:R45"/>
    <mergeCell ref="R46:R48"/>
    <mergeCell ref="R22:R24"/>
    <mergeCell ref="R25:R27"/>
    <mergeCell ref="R28:R30"/>
    <mergeCell ref="R31:R33"/>
    <mergeCell ref="R34:R36"/>
    <mergeCell ref="R7:R9"/>
    <mergeCell ref="Q10:Q12"/>
    <mergeCell ref="Q13:Q15"/>
    <mergeCell ref="Q16:Q18"/>
    <mergeCell ref="Q19:Q21"/>
    <mergeCell ref="R10:R12"/>
    <mergeCell ref="R13:R15"/>
    <mergeCell ref="R16:R18"/>
    <mergeCell ref="R19:R21"/>
    <mergeCell ref="P37:P39"/>
    <mergeCell ref="P40:P42"/>
    <mergeCell ref="P43:P45"/>
    <mergeCell ref="P46:P48"/>
    <mergeCell ref="Q7:Q9"/>
    <mergeCell ref="Q22:Q24"/>
    <mergeCell ref="Q25:Q27"/>
    <mergeCell ref="Q28:Q30"/>
    <mergeCell ref="Q31:Q33"/>
    <mergeCell ref="Q34:Q36"/>
    <mergeCell ref="Q37:Q39"/>
    <mergeCell ref="Q40:Q42"/>
    <mergeCell ref="Q43:Q45"/>
    <mergeCell ref="Q46:Q48"/>
    <mergeCell ref="P22:P24"/>
    <mergeCell ref="P25:P27"/>
    <mergeCell ref="P28:P30"/>
    <mergeCell ref="P31:P33"/>
    <mergeCell ref="P34:P36"/>
    <mergeCell ref="P7:P9"/>
    <mergeCell ref="P10:P12"/>
    <mergeCell ref="P13:P15"/>
    <mergeCell ref="P16:P18"/>
    <mergeCell ref="P19:P21"/>
    <mergeCell ref="C40:C48"/>
    <mergeCell ref="D40:D42"/>
    <mergeCell ref="D43:D45"/>
    <mergeCell ref="D46:D48"/>
    <mergeCell ref="C25:C39"/>
    <mergeCell ref="D25:D27"/>
    <mergeCell ref="D28:D30"/>
    <mergeCell ref="D31:D33"/>
    <mergeCell ref="D34:D36"/>
    <mergeCell ref="D37:D39"/>
    <mergeCell ref="C7:C24"/>
    <mergeCell ref="D7:D9"/>
    <mergeCell ref="D10:D12"/>
    <mergeCell ref="D13:D15"/>
    <mergeCell ref="D16:D18"/>
    <mergeCell ref="D19:D21"/>
    <mergeCell ref="D22:D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F2CC-2850-42FB-AC43-13371F2AFA80}">
  <dimension ref="A4:AD49"/>
  <sheetViews>
    <sheetView zoomScale="85" zoomScaleNormal="85" workbookViewId="0">
      <selection activeCell="V7" sqref="V7"/>
    </sheetView>
  </sheetViews>
  <sheetFormatPr defaultRowHeight="14.3" x14ac:dyDescent="0.25"/>
  <cols>
    <col min="1" max="1" width="7.75" bestFit="1" customWidth="1"/>
    <col min="2" max="2" width="8.375" bestFit="1" customWidth="1"/>
    <col min="3" max="3" width="7.625" bestFit="1" customWidth="1"/>
    <col min="4" max="4" width="5.25" bestFit="1" customWidth="1"/>
    <col min="5" max="5" width="17.75" bestFit="1" customWidth="1"/>
    <col min="6" max="6" width="17.75" customWidth="1"/>
    <col min="7" max="7" width="22.625" bestFit="1" customWidth="1"/>
    <col min="12" max="12" width="11.375" bestFit="1" customWidth="1"/>
    <col min="13" max="13" width="11.875" bestFit="1" customWidth="1"/>
    <col min="14" max="14" width="13.125" bestFit="1" customWidth="1"/>
    <col min="16" max="16" width="11" bestFit="1" customWidth="1"/>
    <col min="18" max="18" width="20.75" customWidth="1"/>
    <col min="19" max="20" width="16.75" bestFit="1" customWidth="1"/>
    <col min="21" max="21" width="12.125" bestFit="1" customWidth="1"/>
  </cols>
  <sheetData>
    <row r="4" spans="1:22" ht="14.95" thickBot="1" x14ac:dyDescent="0.3"/>
    <row r="5" spans="1:22" ht="14.95" thickBot="1" x14ac:dyDescent="0.3">
      <c r="L5" s="119" t="s">
        <v>116</v>
      </c>
      <c r="M5" s="120"/>
      <c r="N5" s="120"/>
      <c r="O5" s="120"/>
      <c r="P5" s="120"/>
      <c r="Q5" s="120"/>
      <c r="R5" s="121"/>
    </row>
    <row r="6" spans="1:22" ht="17.7" thickBot="1" x14ac:dyDescent="0.3">
      <c r="A6" s="15" t="s">
        <v>81</v>
      </c>
      <c r="B6" s="15" t="s">
        <v>54</v>
      </c>
      <c r="C6" s="1" t="s">
        <v>1</v>
      </c>
      <c r="D6" s="20" t="s">
        <v>0</v>
      </c>
      <c r="E6" s="21" t="s">
        <v>2</v>
      </c>
      <c r="F6" s="15" t="s">
        <v>128</v>
      </c>
      <c r="G6" s="15" t="s">
        <v>124</v>
      </c>
      <c r="H6" s="15" t="s">
        <v>91</v>
      </c>
      <c r="I6" s="15" t="s">
        <v>92</v>
      </c>
      <c r="J6" s="46" t="s">
        <v>109</v>
      </c>
      <c r="K6" s="46" t="s">
        <v>179</v>
      </c>
      <c r="L6" s="15" t="s">
        <v>83</v>
      </c>
      <c r="M6" s="15" t="s">
        <v>84</v>
      </c>
      <c r="N6" s="15" t="s">
        <v>85</v>
      </c>
      <c r="O6" s="15" t="s">
        <v>86</v>
      </c>
      <c r="P6" s="15" t="s">
        <v>87</v>
      </c>
      <c r="Q6" s="15" t="s">
        <v>88</v>
      </c>
      <c r="R6" s="15" t="s">
        <v>117</v>
      </c>
      <c r="S6" s="15" t="s">
        <v>127</v>
      </c>
      <c r="T6" s="15" t="s">
        <v>126</v>
      </c>
      <c r="U6" s="15" t="s">
        <v>125</v>
      </c>
      <c r="V6" s="15"/>
    </row>
    <row r="7" spans="1:22" ht="14.95" thickBot="1" x14ac:dyDescent="0.3">
      <c r="A7" s="16" t="s">
        <v>3</v>
      </c>
      <c r="B7" s="16" t="s">
        <v>55</v>
      </c>
      <c r="C7" s="104">
        <v>2</v>
      </c>
      <c r="D7" s="107">
        <v>1</v>
      </c>
      <c r="E7" s="2">
        <v>5</v>
      </c>
      <c r="F7" s="28">
        <v>0.61043418699044383</v>
      </c>
      <c r="G7" s="116">
        <v>0.53132467087285951</v>
      </c>
      <c r="H7" s="45">
        <v>1.0135545069638157</v>
      </c>
      <c r="I7" s="45">
        <v>0.92013301573690331</v>
      </c>
      <c r="J7" s="45">
        <f>$C$7/H7/I7</f>
        <v>2.1445307229003849</v>
      </c>
      <c r="K7" s="116">
        <f>C7*((0.5/(0.86-EXP(-X43/1012)))^-1)</f>
        <v>1.9439239040743537</v>
      </c>
      <c r="L7" s="116">
        <f>$W$28*G7+$X$28</f>
        <v>17.325864440680981</v>
      </c>
      <c r="M7" s="116">
        <f>$W$29*G7+$X$29</f>
        <v>-0.32641374666138445</v>
      </c>
      <c r="N7" s="116">
        <f>$W$30*G7+$X$30</f>
        <v>1.5340580749944861</v>
      </c>
      <c r="O7" s="116">
        <f>$W$31*G7^$X$31</f>
        <v>1.4383772787932458</v>
      </c>
      <c r="P7" s="116">
        <f>$W$32*G7^$X$32</f>
        <v>7.7200730488592769E-3</v>
      </c>
      <c r="Q7" s="116">
        <f>$W$33*G7+$X$33</f>
        <v>17.336259646753408</v>
      </c>
      <c r="R7" s="45">
        <f>(J7^L7)*(EXP(-(J7^M7)*N7*J7)+(O7/J7))^(J7*P7+Q7)</f>
        <v>3540.8272026592654</v>
      </c>
      <c r="S7" s="45">
        <f>G7*R7</f>
        <v>1881.3288480706019</v>
      </c>
      <c r="T7" s="50">
        <f>SUM(S7:S48)</f>
        <v>29894.335772767954</v>
      </c>
      <c r="U7" s="50">
        <f>SUM(R7:R48)</f>
        <v>66628.924779680339</v>
      </c>
      <c r="V7" s="53">
        <f>T7/U7</f>
        <v>0.44866904083502118</v>
      </c>
    </row>
    <row r="8" spans="1:22" ht="14.95" thickBot="1" x14ac:dyDescent="0.3">
      <c r="A8" s="17" t="s">
        <v>4</v>
      </c>
      <c r="B8" s="17" t="s">
        <v>56</v>
      </c>
      <c r="C8" s="105"/>
      <c r="D8" s="108"/>
      <c r="E8" s="3">
        <v>15</v>
      </c>
      <c r="F8" s="39">
        <v>0.29828450375777515</v>
      </c>
      <c r="G8" s="117"/>
      <c r="H8" s="51">
        <v>1.0135545069638157</v>
      </c>
      <c r="I8" s="51">
        <v>0.86076167477377608</v>
      </c>
      <c r="J8" s="51">
        <f t="shared" ref="J8:J24" si="0">$C$7/H8/I8</f>
        <v>2.2924504880185093</v>
      </c>
      <c r="K8" s="117"/>
      <c r="L8" s="117"/>
      <c r="M8" s="117"/>
      <c r="N8" s="117"/>
      <c r="O8" s="117"/>
      <c r="P8" s="117"/>
      <c r="Q8" s="117"/>
      <c r="R8" s="45">
        <f>(J8^L7)*(EXP(-(J8^M7)*N7*J8)+(O7/J8))^(J8*P7+Q7)</f>
        <v>3231.2319149281557</v>
      </c>
      <c r="S8" s="51">
        <f>G7*R8</f>
        <v>1716.8332337130819</v>
      </c>
    </row>
    <row r="9" spans="1:22" ht="14.95" thickBot="1" x14ac:dyDescent="0.3">
      <c r="A9" s="17" t="s">
        <v>5</v>
      </c>
      <c r="B9" s="17" t="s">
        <v>58</v>
      </c>
      <c r="C9" s="105"/>
      <c r="D9" s="109"/>
      <c r="E9" s="4">
        <v>30</v>
      </c>
      <c r="F9" s="40">
        <v>0.34171518889827146</v>
      </c>
      <c r="G9" s="118"/>
      <c r="H9" s="52">
        <v>1.0135545069638157</v>
      </c>
      <c r="I9" s="52">
        <v>0.84082787602186837</v>
      </c>
      <c r="J9" s="52">
        <f t="shared" si="0"/>
        <v>2.3467984086572455</v>
      </c>
      <c r="K9" s="117"/>
      <c r="L9" s="118"/>
      <c r="M9" s="118"/>
      <c r="N9" s="118"/>
      <c r="O9" s="118"/>
      <c r="P9" s="118"/>
      <c r="Q9" s="118"/>
      <c r="R9" s="45">
        <f>(J9^L7)*(EXP(-(J9^M7)*N7*J9)+(O7/J9))^(J9*P7+Q7)</f>
        <v>3125.2207378070548</v>
      </c>
      <c r="S9" s="52">
        <f>G7*R9</f>
        <v>1660.5068799203684</v>
      </c>
    </row>
    <row r="10" spans="1:22" ht="14.95" thickBot="1" x14ac:dyDescent="0.3">
      <c r="A10" s="17" t="s">
        <v>6</v>
      </c>
      <c r="B10" s="17" t="s">
        <v>57</v>
      </c>
      <c r="C10" s="105"/>
      <c r="D10" s="107">
        <v>2</v>
      </c>
      <c r="E10" s="2">
        <v>5</v>
      </c>
      <c r="F10" s="28">
        <v>0.42832891620949426</v>
      </c>
      <c r="G10" s="116">
        <v>0.42202828957772942</v>
      </c>
      <c r="H10" s="45">
        <v>1.0135545069638157</v>
      </c>
      <c r="I10" s="45">
        <v>0.84082787602186837</v>
      </c>
      <c r="J10" s="45">
        <f t="shared" si="0"/>
        <v>2.3467984086572455</v>
      </c>
      <c r="K10" s="117"/>
      <c r="L10" s="116">
        <f t="shared" ref="L10:L48" si="1">$W$28*G10+$X$28</f>
        <v>17.533889336163814</v>
      </c>
      <c r="M10" s="116">
        <f t="shared" ref="M10:M48" si="2">$W$29*G10+$X$29</f>
        <v>-0.33053531320002383</v>
      </c>
      <c r="N10" s="116">
        <f t="shared" ref="N10:N48" si="3">$W$30*G10+$X$30</f>
        <v>1.5387053571271549</v>
      </c>
      <c r="O10" s="116">
        <f t="shared" ref="O10" si="4">$W$31*G10^$X$31</f>
        <v>1.4372017877702936</v>
      </c>
      <c r="P10" s="116">
        <f t="shared" ref="P10:P48" si="5">$W$32*G10^$X$32</f>
        <v>7.7383897454314822E-3</v>
      </c>
      <c r="Q10" s="116">
        <f t="shared" ref="Q10:Q48" si="6">$W$33*G10+$X$33</f>
        <v>17.540323641378109</v>
      </c>
      <c r="R10" s="45">
        <f t="shared" ref="R10" si="7">(J10^L10)*(EXP(-(J10^M10)*N10*J10)+(O10/J10))^(J10*P10+Q10)</f>
        <v>3411.2619989949822</v>
      </c>
      <c r="S10" s="45">
        <f t="shared" ref="S10" si="8">G10*R10</f>
        <v>1439.6490667373585</v>
      </c>
    </row>
    <row r="11" spans="1:22" ht="14.95" thickBot="1" x14ac:dyDescent="0.3">
      <c r="A11" s="17" t="s">
        <v>7</v>
      </c>
      <c r="B11" s="17" t="s">
        <v>59</v>
      </c>
      <c r="C11" s="105"/>
      <c r="D11" s="108">
        <v>2</v>
      </c>
      <c r="E11" s="3">
        <v>15</v>
      </c>
      <c r="F11" s="39">
        <v>0.40944532788471982</v>
      </c>
      <c r="G11" s="117"/>
      <c r="H11" s="51">
        <v>1.0135545069638157</v>
      </c>
      <c r="I11" s="51">
        <v>0.84082787602186837</v>
      </c>
      <c r="J11" s="51">
        <f t="shared" si="0"/>
        <v>2.3467984086572455</v>
      </c>
      <c r="K11" s="117"/>
      <c r="L11" s="117"/>
      <c r="M11" s="117"/>
      <c r="N11" s="117"/>
      <c r="O11" s="117"/>
      <c r="P11" s="117"/>
      <c r="Q11" s="117"/>
      <c r="R11" s="45">
        <f t="shared" ref="R11:R48" si="9">(J11^L10)*(EXP(-(J11^M10)*N10*J11)+(O10/J11))^(J11*P10+Q10)</f>
        <v>3411.2619989949822</v>
      </c>
      <c r="S11" s="51">
        <f t="shared" ref="S11" si="10">G10*R11</f>
        <v>1439.6490667373585</v>
      </c>
    </row>
    <row r="12" spans="1:22" ht="14.95" thickBot="1" x14ac:dyDescent="0.3">
      <c r="A12" s="17" t="s">
        <v>8</v>
      </c>
      <c r="B12" s="17" t="s">
        <v>60</v>
      </c>
      <c r="C12" s="105"/>
      <c r="D12" s="109"/>
      <c r="E12" s="4">
        <v>30</v>
      </c>
      <c r="F12" s="40">
        <v>0.34244825465870621</v>
      </c>
      <c r="G12" s="118"/>
      <c r="H12" s="52">
        <v>1.0135545069638157</v>
      </c>
      <c r="I12" s="52">
        <v>0.84082787602186837</v>
      </c>
      <c r="J12" s="52">
        <f t="shared" si="0"/>
        <v>2.3467984086572455</v>
      </c>
      <c r="K12" s="117"/>
      <c r="L12" s="118"/>
      <c r="M12" s="118"/>
      <c r="N12" s="118"/>
      <c r="O12" s="118"/>
      <c r="P12" s="118"/>
      <c r="Q12" s="118"/>
      <c r="R12" s="45">
        <f t="shared" ref="R12" si="11">(J12^L10)*(EXP(-(J12^M10)*N10*J12)+(O10/J12))^(J12*P10+Q10)</f>
        <v>3411.2619989949822</v>
      </c>
      <c r="S12" s="52">
        <f t="shared" ref="S12" si="12">G10*R12</f>
        <v>1439.6490667373585</v>
      </c>
    </row>
    <row r="13" spans="1:22" ht="14.95" thickBot="1" x14ac:dyDescent="0.3">
      <c r="A13" s="17" t="s">
        <v>9</v>
      </c>
      <c r="B13" s="17" t="s">
        <v>61</v>
      </c>
      <c r="C13" s="105"/>
      <c r="D13" s="107">
        <v>3</v>
      </c>
      <c r="E13" s="2">
        <v>5</v>
      </c>
      <c r="F13" s="28">
        <v>0.36824739702625309</v>
      </c>
      <c r="G13" s="116">
        <v>0.37200139316042219</v>
      </c>
      <c r="H13" s="45">
        <v>1.0135545069638157</v>
      </c>
      <c r="I13" s="45">
        <v>0.84082787602186837</v>
      </c>
      <c r="J13" s="45">
        <f t="shared" si="0"/>
        <v>2.3467984086572455</v>
      </c>
      <c r="K13" s="117"/>
      <c r="L13" s="116">
        <f t="shared" ref="L13:L48" si="13">$W$28*G13+$X$28</f>
        <v>17.629106028383838</v>
      </c>
      <c r="M13" s="116">
        <f t="shared" ref="M13:M48" si="14">$W$29*G13+$X$29</f>
        <v>-0.33242182746392046</v>
      </c>
      <c r="N13" s="116">
        <f t="shared" ref="N13:N48" si="15">$W$30*G13+$X$30</f>
        <v>1.540832500762819</v>
      </c>
      <c r="O13" s="116">
        <f t="shared" ref="O13" si="16">$W$31*G13^$X$31</f>
        <v>1.4365581799809592</v>
      </c>
      <c r="P13" s="116">
        <f t="shared" ref="P13:P48" si="17">$W$32*G13^$X$32</f>
        <v>7.7484433172769346E-3</v>
      </c>
      <c r="Q13" s="116">
        <f t="shared" ref="Q13:Q48" si="18">$W$33*G13+$X$33</f>
        <v>17.633727358871969</v>
      </c>
      <c r="R13" s="45">
        <f t="shared" ref="R13" si="19">(J13^L13)*(EXP(-(J13^M13)*N13*J13)+(O13/J13))^(J13*P13+Q13)</f>
        <v>3546.3708030842122</v>
      </c>
      <c r="S13" s="45">
        <f t="shared" ref="S13" si="20">G13*R13</f>
        <v>1319.2548794107722</v>
      </c>
    </row>
    <row r="14" spans="1:22" ht="14.95" thickBot="1" x14ac:dyDescent="0.3">
      <c r="A14" s="17" t="s">
        <v>10</v>
      </c>
      <c r="B14" s="17" t="s">
        <v>62</v>
      </c>
      <c r="C14" s="105"/>
      <c r="D14" s="108">
        <v>3</v>
      </c>
      <c r="E14" s="3">
        <v>15</v>
      </c>
      <c r="F14" s="39">
        <v>0.39102897850929691</v>
      </c>
      <c r="G14" s="117"/>
      <c r="H14" s="51">
        <v>1.0135545069638157</v>
      </c>
      <c r="I14" s="51">
        <v>0.84082787602186837</v>
      </c>
      <c r="J14" s="51">
        <f t="shared" si="0"/>
        <v>2.3467984086572455</v>
      </c>
      <c r="K14" s="117"/>
      <c r="L14" s="117"/>
      <c r="M14" s="117"/>
      <c r="N14" s="117"/>
      <c r="O14" s="117"/>
      <c r="P14" s="117"/>
      <c r="Q14" s="117"/>
      <c r="R14" s="45">
        <f t="shared" ref="R14:R48" si="21">(J14^L13)*(EXP(-(J14^M13)*N13*J14)+(O13/J14))^(J14*P13+Q13)</f>
        <v>3546.3708030842122</v>
      </c>
      <c r="S14" s="51">
        <f t="shared" ref="S14" si="22">G13*R14</f>
        <v>1319.2548794107722</v>
      </c>
    </row>
    <row r="15" spans="1:22" ht="14.95" thickBot="1" x14ac:dyDescent="0.3">
      <c r="A15" s="17" t="s">
        <v>11</v>
      </c>
      <c r="B15" s="17" t="s">
        <v>63</v>
      </c>
      <c r="C15" s="105"/>
      <c r="D15" s="109"/>
      <c r="E15" s="4">
        <v>30</v>
      </c>
      <c r="F15" s="40">
        <v>0.3098737862671353</v>
      </c>
      <c r="G15" s="118"/>
      <c r="H15" s="52">
        <v>1.0135545069638157</v>
      </c>
      <c r="I15" s="52">
        <v>0.84082787602186837</v>
      </c>
      <c r="J15" s="52">
        <f t="shared" si="0"/>
        <v>2.3467984086572455</v>
      </c>
      <c r="K15" s="117"/>
      <c r="L15" s="118"/>
      <c r="M15" s="118"/>
      <c r="N15" s="118"/>
      <c r="O15" s="118"/>
      <c r="P15" s="118"/>
      <c r="Q15" s="118"/>
      <c r="R15" s="45">
        <f t="shared" ref="R15" si="23">(J15^L13)*(EXP(-(J15^M13)*N13*J15)+(O13/J15))^(J15*P13+Q13)</f>
        <v>3546.3708030842122</v>
      </c>
      <c r="S15" s="52">
        <f t="shared" ref="S15" si="24">G13*R15</f>
        <v>1319.2548794107722</v>
      </c>
    </row>
    <row r="16" spans="1:22" ht="14.95" thickBot="1" x14ac:dyDescent="0.3">
      <c r="A16" s="17" t="s">
        <v>12</v>
      </c>
      <c r="B16" s="17" t="s">
        <v>64</v>
      </c>
      <c r="C16" s="105"/>
      <c r="D16" s="107">
        <v>4</v>
      </c>
      <c r="E16" s="2">
        <v>5</v>
      </c>
      <c r="F16" s="28">
        <v>0.43437218560644625</v>
      </c>
      <c r="G16" s="116">
        <v>0.4364057774525727</v>
      </c>
      <c r="H16" s="45">
        <v>1.0135545069638157</v>
      </c>
      <c r="I16" s="45">
        <v>0.84082787602186837</v>
      </c>
      <c r="J16" s="45">
        <f t="shared" si="0"/>
        <v>2.3467984086572455</v>
      </c>
      <c r="K16" s="117"/>
      <c r="L16" s="116">
        <f t="shared" ref="L16:L48" si="25">$W$28*G16+$X$28</f>
        <v>17.506524519716745</v>
      </c>
      <c r="M16" s="116">
        <f t="shared" ref="M16:M48" si="26">$W$29*G16+$X$29</f>
        <v>-0.32999313813226344</v>
      </c>
      <c r="N16" s="116">
        <f t="shared" ref="N16:N48" si="27">$W$30*G16+$X$30</f>
        <v>1.5380940263427167</v>
      </c>
      <c r="O16" s="116">
        <f t="shared" ref="O16" si="28">$W$31*G16^$X$31</f>
        <v>1.4373727178916842</v>
      </c>
      <c r="P16" s="116">
        <f t="shared" ref="P16:P48" si="29">$W$32*G16^$X$32</f>
        <v>7.7357226546606308E-3</v>
      </c>
      <c r="Q16" s="116">
        <f t="shared" ref="Q16:Q48" si="30">$W$33*G16+$X$33</f>
        <v>17.513479865091625</v>
      </c>
      <c r="R16" s="45">
        <f t="shared" ref="R16" si="31">(J16^L16)*(EXP(-(J16^M16)*N16*J16)+(O16/J16))^(J16*P16+Q16)</f>
        <v>3372.8352745069874</v>
      </c>
      <c r="S16" s="45">
        <f t="shared" ref="S16" si="32">G16*R16</f>
        <v>1471.9248001906833</v>
      </c>
    </row>
    <row r="17" spans="1:30" ht="14.95" thickBot="1" x14ac:dyDescent="0.3">
      <c r="A17" s="17" t="s">
        <v>13</v>
      </c>
      <c r="B17" s="17" t="s">
        <v>65</v>
      </c>
      <c r="C17" s="105"/>
      <c r="D17" s="108">
        <v>4</v>
      </c>
      <c r="E17" s="3">
        <v>15</v>
      </c>
      <c r="F17" s="39">
        <v>0.47373663930919724</v>
      </c>
      <c r="G17" s="117"/>
      <c r="H17" s="51">
        <v>1.0135545069638157</v>
      </c>
      <c r="I17" s="51">
        <v>0.84082787602186837</v>
      </c>
      <c r="J17" s="51">
        <f t="shared" si="0"/>
        <v>2.3467984086572455</v>
      </c>
      <c r="K17" s="117"/>
      <c r="L17" s="117"/>
      <c r="M17" s="117"/>
      <c r="N17" s="117"/>
      <c r="O17" s="117"/>
      <c r="P17" s="117"/>
      <c r="Q17" s="117"/>
      <c r="R17" s="45">
        <f t="shared" ref="R17:R48" si="33">(J17^L16)*(EXP(-(J17^M16)*N16*J17)+(O16/J17))^(J17*P16+Q16)</f>
        <v>3372.8352745069874</v>
      </c>
      <c r="S17" s="51">
        <f t="shared" ref="S17" si="34">G16*R17</f>
        <v>1471.9248001906833</v>
      </c>
    </row>
    <row r="18" spans="1:30" ht="14.95" thickBot="1" x14ac:dyDescent="0.3">
      <c r="A18" s="17" t="s">
        <v>14</v>
      </c>
      <c r="B18" s="17" t="s">
        <v>66</v>
      </c>
      <c r="C18" s="105"/>
      <c r="D18" s="109"/>
      <c r="E18" s="4">
        <v>30</v>
      </c>
      <c r="F18" s="40">
        <v>0.28000102812212413</v>
      </c>
      <c r="G18" s="118"/>
      <c r="H18" s="52">
        <v>1.0135545069638157</v>
      </c>
      <c r="I18" s="52">
        <v>0.84082787602186837</v>
      </c>
      <c r="J18" s="52">
        <f t="shared" si="0"/>
        <v>2.3467984086572455</v>
      </c>
      <c r="K18" s="117"/>
      <c r="L18" s="118"/>
      <c r="M18" s="118"/>
      <c r="N18" s="118"/>
      <c r="O18" s="118"/>
      <c r="P18" s="118"/>
      <c r="Q18" s="118"/>
      <c r="R18" s="45">
        <f t="shared" ref="R18" si="35">(J18^L16)*(EXP(-(J18^M16)*N16*J18)+(O16/J18))^(J18*P16+Q16)</f>
        <v>3372.8352745069874</v>
      </c>
      <c r="S18" s="52">
        <f t="shared" ref="S18" si="36">G16*R18</f>
        <v>1471.9248001906833</v>
      </c>
    </row>
    <row r="19" spans="1:30" ht="14.95" thickBot="1" x14ac:dyDescent="0.3">
      <c r="A19" s="17" t="s">
        <v>15</v>
      </c>
      <c r="B19" s="17" t="s">
        <v>67</v>
      </c>
      <c r="C19" s="105"/>
      <c r="D19" s="107">
        <v>5</v>
      </c>
      <c r="E19" s="2">
        <v>5</v>
      </c>
      <c r="F19" s="28">
        <v>0.48679084908000492</v>
      </c>
      <c r="G19" s="116">
        <v>0.47584749227172024</v>
      </c>
      <c r="H19" s="45">
        <v>1.0135545069638157</v>
      </c>
      <c r="I19" s="45">
        <v>0.84082787602186837</v>
      </c>
      <c r="J19" s="45">
        <f t="shared" si="0"/>
        <v>2.3467984086572455</v>
      </c>
      <c r="K19" s="117"/>
      <c r="L19" s="116">
        <f t="shared" ref="L19:L48" si="37">$W$28*G19+$X$28</f>
        <v>17.431454709484314</v>
      </c>
      <c r="M19" s="116">
        <f t="shared" ref="M19:M48" si="38">$W$29*G19+$X$29</f>
        <v>-0.32850579106643341</v>
      </c>
      <c r="N19" s="116">
        <f t="shared" ref="N19:N48" si="39">$W$30*G19+$X$30</f>
        <v>1.5364169646286066</v>
      </c>
      <c r="O19" s="116">
        <f t="shared" ref="O19" si="40">$W$31*G19^$X$31</f>
        <v>1.4378142940704859</v>
      </c>
      <c r="P19" s="116">
        <f t="shared" ref="P19:P48" si="41">$W$32*G19^$X$32</f>
        <v>7.7288382858277781E-3</v>
      </c>
      <c r="Q19" s="116">
        <f t="shared" ref="Q19:Q48" si="42">$W$33*G19+$X$33</f>
        <v>17.439839422604237</v>
      </c>
      <c r="R19" s="45">
        <f t="shared" ref="R19" si="43">(J19^L19)*(EXP(-(J19^M19)*N19*J19)+(O19/J19))^(J19*P19+Q19)</f>
        <v>3268.5749968158811</v>
      </c>
      <c r="S19" s="45">
        <f t="shared" ref="S19" si="44">G19*R19</f>
        <v>1555.343215536883</v>
      </c>
    </row>
    <row r="20" spans="1:30" ht="14.95" thickBot="1" x14ac:dyDescent="0.3">
      <c r="A20" s="17" t="s">
        <v>16</v>
      </c>
      <c r="B20" s="17" t="s">
        <v>68</v>
      </c>
      <c r="C20" s="105"/>
      <c r="D20" s="108">
        <v>5</v>
      </c>
      <c r="E20" s="3">
        <v>15</v>
      </c>
      <c r="F20" s="39">
        <v>0.44526266744619636</v>
      </c>
      <c r="G20" s="117"/>
      <c r="H20" s="51">
        <v>1.0135545069638157</v>
      </c>
      <c r="I20" s="51">
        <v>0.84082787602186837</v>
      </c>
      <c r="J20" s="51">
        <f t="shared" si="0"/>
        <v>2.3467984086572455</v>
      </c>
      <c r="K20" s="117"/>
      <c r="L20" s="117"/>
      <c r="M20" s="117"/>
      <c r="N20" s="117"/>
      <c r="O20" s="117"/>
      <c r="P20" s="117"/>
      <c r="Q20" s="117"/>
      <c r="R20" s="45">
        <f t="shared" ref="R20:R48" si="45">(J20^L19)*(EXP(-(J20^M19)*N19*J20)+(O19/J20))^(J20*P19+Q19)</f>
        <v>3268.5749968158811</v>
      </c>
      <c r="S20" s="51">
        <f t="shared" ref="S20" si="46">G19*R20</f>
        <v>1555.343215536883</v>
      </c>
    </row>
    <row r="21" spans="1:30" ht="14.95" thickBot="1" x14ac:dyDescent="0.3">
      <c r="A21" s="17" t="s">
        <v>17</v>
      </c>
      <c r="B21" s="17" t="s">
        <v>69</v>
      </c>
      <c r="C21" s="105"/>
      <c r="D21" s="109"/>
      <c r="E21" s="4">
        <v>30</v>
      </c>
      <c r="F21" s="40">
        <v>0.3636571129616844</v>
      </c>
      <c r="G21" s="118"/>
      <c r="H21" s="52">
        <v>1.0135545069638157</v>
      </c>
      <c r="I21" s="52">
        <v>0.84082787602186837</v>
      </c>
      <c r="J21" s="52">
        <f t="shared" si="0"/>
        <v>2.3467984086572455</v>
      </c>
      <c r="K21" s="117"/>
      <c r="L21" s="118"/>
      <c r="M21" s="118"/>
      <c r="N21" s="118"/>
      <c r="O21" s="118"/>
      <c r="P21" s="118"/>
      <c r="Q21" s="118"/>
      <c r="R21" s="45">
        <f t="shared" ref="R21" si="47">(J21^L19)*(EXP(-(J21^M19)*N19*J21)+(O19/J21))^(J21*P19+Q19)</f>
        <v>3268.5749968158811</v>
      </c>
      <c r="S21" s="52">
        <f t="shared" ref="S21" si="48">G19*R21</f>
        <v>1555.343215536883</v>
      </c>
    </row>
    <row r="22" spans="1:30" ht="14.95" thickBot="1" x14ac:dyDescent="0.3">
      <c r="A22" s="17" t="s">
        <v>18</v>
      </c>
      <c r="B22" s="17" t="s">
        <v>70</v>
      </c>
      <c r="C22" s="105"/>
      <c r="D22" s="107">
        <v>6</v>
      </c>
      <c r="E22" s="2">
        <v>5</v>
      </c>
      <c r="F22" s="28">
        <v>0.44401891023290757</v>
      </c>
      <c r="G22" s="116">
        <v>0.41860762029830678</v>
      </c>
      <c r="H22" s="45">
        <v>1.0135545069638157</v>
      </c>
      <c r="I22" s="45">
        <v>0.84082787602186837</v>
      </c>
      <c r="J22" s="45">
        <f t="shared" si="0"/>
        <v>2.3467984086572455</v>
      </c>
      <c r="K22" s="117"/>
      <c r="L22" s="116">
        <f t="shared" ref="L22:L48" si="49">$W$28*G22+$X$28</f>
        <v>17.540399930210032</v>
      </c>
      <c r="M22" s="116">
        <f t="shared" ref="M22:M48" si="50">$W$29*G22+$X$29</f>
        <v>-0.33066430663855084</v>
      </c>
      <c r="N22" s="116">
        <f t="shared" ref="N22:N48" si="51">$W$30*G22+$X$30</f>
        <v>1.538850803984916</v>
      </c>
      <c r="O22" s="116">
        <f t="shared" ref="O22" si="52">$W$31*G22^$X$31</f>
        <v>1.4371602660469758</v>
      </c>
      <c r="P22" s="116">
        <f t="shared" ref="P22:P48" si="53">$W$32*G22^$X$32</f>
        <v>7.7390378121230648E-3</v>
      </c>
      <c r="Q22" s="116">
        <f t="shared" ref="Q22:Q48" si="54">$W$33*G22+$X$33</f>
        <v>17.54671027036964</v>
      </c>
      <c r="R22" s="45">
        <f t="shared" ref="R22" si="55">(J22^L22)*(EXP(-(J22^M22)*N22*J22)+(O22/J22))^(J22*P22+Q22)</f>
        <v>3420.4342829604784</v>
      </c>
      <c r="S22" s="45">
        <f t="shared" ref="S22" si="56">G22*R22</f>
        <v>1431.8198555768311</v>
      </c>
    </row>
    <row r="23" spans="1:30" ht="14.95" thickBot="1" x14ac:dyDescent="0.3">
      <c r="A23" s="17" t="s">
        <v>19</v>
      </c>
      <c r="B23" s="17" t="s">
        <v>71</v>
      </c>
      <c r="C23" s="105"/>
      <c r="D23" s="108">
        <v>6</v>
      </c>
      <c r="E23" s="3">
        <v>15</v>
      </c>
      <c r="F23" s="39">
        <v>0.35260535242507829</v>
      </c>
      <c r="G23" s="117"/>
      <c r="H23" s="51">
        <v>1.0135545069638157</v>
      </c>
      <c r="I23" s="51">
        <v>0.84082787602186837</v>
      </c>
      <c r="J23" s="51">
        <f t="shared" si="0"/>
        <v>2.3467984086572455</v>
      </c>
      <c r="K23" s="117"/>
      <c r="L23" s="117"/>
      <c r="M23" s="117"/>
      <c r="N23" s="117"/>
      <c r="O23" s="117"/>
      <c r="P23" s="117"/>
      <c r="Q23" s="117"/>
      <c r="R23" s="45">
        <f t="shared" ref="R23:R48" si="57">(J23^L22)*(EXP(-(J23^M22)*N22*J23)+(O22/J23))^(J23*P22+Q22)</f>
        <v>3420.4342829604784</v>
      </c>
      <c r="S23" s="51">
        <f t="shared" ref="S23" si="58">G22*R23</f>
        <v>1431.8198555768311</v>
      </c>
    </row>
    <row r="24" spans="1:30" ht="14.95" thickBot="1" x14ac:dyDescent="0.3">
      <c r="A24" s="17" t="s">
        <v>20</v>
      </c>
      <c r="B24" s="17" t="s">
        <v>72</v>
      </c>
      <c r="C24" s="106"/>
      <c r="D24" s="109"/>
      <c r="E24" s="4">
        <v>30</v>
      </c>
      <c r="F24" s="40">
        <v>0.32091847449916266</v>
      </c>
      <c r="G24" s="118"/>
      <c r="H24" s="52">
        <v>1.0135545069638157</v>
      </c>
      <c r="I24" s="52">
        <v>0.84082787602186837</v>
      </c>
      <c r="J24" s="52">
        <f t="shared" si="0"/>
        <v>2.3467984086572455</v>
      </c>
      <c r="K24" s="118"/>
      <c r="L24" s="118"/>
      <c r="M24" s="118"/>
      <c r="N24" s="118"/>
      <c r="O24" s="118"/>
      <c r="P24" s="118"/>
      <c r="Q24" s="118"/>
      <c r="R24" s="45">
        <f t="shared" ref="R24" si="59">(J24^L22)*(EXP(-(J24^M22)*N22*J24)+(O22/J24))^(J24*P22+Q22)</f>
        <v>3420.4342829604784</v>
      </c>
      <c r="S24" s="52">
        <f t="shared" ref="S24" si="60">G22*R24</f>
        <v>1431.8198555768311</v>
      </c>
    </row>
    <row r="25" spans="1:30" ht="14.95" thickBot="1" x14ac:dyDescent="0.3">
      <c r="A25" s="17" t="s">
        <v>21</v>
      </c>
      <c r="B25" s="17" t="s">
        <v>73</v>
      </c>
      <c r="C25" s="104">
        <v>20</v>
      </c>
      <c r="D25" s="107">
        <v>1</v>
      </c>
      <c r="E25" s="2">
        <v>5</v>
      </c>
      <c r="F25" s="28">
        <v>0.51495773900409347</v>
      </c>
      <c r="G25" s="116">
        <v>0.46593835295457131</v>
      </c>
      <c r="H25" s="45">
        <v>1.0135545069638157</v>
      </c>
      <c r="I25" s="45">
        <v>0.84082787602186837</v>
      </c>
      <c r="J25" s="45">
        <f>$C$25/H25/I25</f>
        <v>23.467984086572454</v>
      </c>
      <c r="K25" s="116">
        <f>C25*((0.5/(0.86-EXP(-X43/1012)))^-1)</f>
        <v>19.439239040743537</v>
      </c>
      <c r="L25" s="116">
        <f t="shared" ref="L25:L48" si="61">$W$28*G25+$X$28</f>
        <v>17.450314873438035</v>
      </c>
      <c r="M25" s="116">
        <f t="shared" ref="M25:M48" si="62">$W$29*G25+$X$29</f>
        <v>-0.32887946471008311</v>
      </c>
      <c r="N25" s="116">
        <f t="shared" ref="N25:N48" si="63">$W$30*G25+$X$30</f>
        <v>1.5368383012323716</v>
      </c>
      <c r="O25" s="116">
        <f t="shared" ref="O25" si="64">$W$31*G25^$X$31</f>
        <v>1.4377068840681806</v>
      </c>
      <c r="P25" s="116">
        <f t="shared" ref="P25:P48" si="65">$W$32*G25^$X$32</f>
        <v>7.7305120968217643E-3</v>
      </c>
      <c r="Q25" s="116">
        <f t="shared" ref="Q25:Q48" si="66">$W$33*G25+$X$33</f>
        <v>17.458340479349108</v>
      </c>
      <c r="R25" s="45">
        <f t="shared" ref="R25" si="67">(J25^L25)*(EXP(-(J25^M25)*N25*J25)+(O25/J25))^(J25*P25+Q25)</f>
        <v>332.65261055000065</v>
      </c>
      <c r="S25" s="45">
        <f t="shared" ref="S25" si="68">G25*R25</f>
        <v>154.99560946570574</v>
      </c>
    </row>
    <row r="26" spans="1:30" ht="14.95" thickBot="1" x14ac:dyDescent="0.3">
      <c r="A26" s="17" t="s">
        <v>22</v>
      </c>
      <c r="B26" s="19" t="s">
        <v>74</v>
      </c>
      <c r="C26" s="105"/>
      <c r="D26" s="108"/>
      <c r="E26" s="3">
        <v>15</v>
      </c>
      <c r="F26" s="39">
        <v>0.33358788123001853</v>
      </c>
      <c r="G26" s="117"/>
      <c r="H26" s="51">
        <v>1.0135545069638157</v>
      </c>
      <c r="I26" s="51">
        <v>0.84082787602186837</v>
      </c>
      <c r="J26" s="51">
        <f t="shared" ref="J26:J39" si="69">$C$25/H26/I26</f>
        <v>23.467984086572454</v>
      </c>
      <c r="K26" s="117"/>
      <c r="L26" s="117"/>
      <c r="M26" s="117"/>
      <c r="N26" s="117"/>
      <c r="O26" s="117"/>
      <c r="P26" s="117"/>
      <c r="Q26" s="117"/>
      <c r="R26" s="45">
        <f t="shared" ref="R26:R48" si="70">(J26^L25)*(EXP(-(J26^M25)*N25*J26)+(O25/J26))^(J26*P25+Q25)</f>
        <v>332.65261055000065</v>
      </c>
      <c r="S26" s="51">
        <f t="shared" ref="S26" si="71">G25*R26</f>
        <v>154.99560946570574</v>
      </c>
    </row>
    <row r="27" spans="1:30" ht="14.95" thickBot="1" x14ac:dyDescent="0.3">
      <c r="A27" s="17" t="s">
        <v>23</v>
      </c>
      <c r="B27" s="19" t="s">
        <v>75</v>
      </c>
      <c r="C27" s="105"/>
      <c r="D27" s="109"/>
      <c r="E27" s="4">
        <v>30</v>
      </c>
      <c r="F27" s="40">
        <v>0.30050306672959498</v>
      </c>
      <c r="G27" s="118"/>
      <c r="H27" s="52">
        <v>1.0135545069638157</v>
      </c>
      <c r="I27" s="52">
        <v>0.84082787602186837</v>
      </c>
      <c r="J27" s="52">
        <f t="shared" si="69"/>
        <v>23.467984086572454</v>
      </c>
      <c r="K27" s="117"/>
      <c r="L27" s="118"/>
      <c r="M27" s="118"/>
      <c r="N27" s="118"/>
      <c r="O27" s="118"/>
      <c r="P27" s="118"/>
      <c r="Q27" s="118"/>
      <c r="R27" s="45">
        <f t="shared" ref="R27" si="72">(J27^L25)*(EXP(-(J27^M25)*N25*J27)+(O25/J27))^(J27*P25+Q25)</f>
        <v>332.65261055000065</v>
      </c>
      <c r="S27" s="52">
        <f t="shared" ref="S27" si="73">G25*R27</f>
        <v>154.99560946570574</v>
      </c>
      <c r="V27" s="22"/>
      <c r="W27" s="23" t="s">
        <v>95</v>
      </c>
      <c r="X27" s="24" t="s">
        <v>96</v>
      </c>
      <c r="Y27" s="125"/>
      <c r="Z27" s="125"/>
      <c r="AA27" s="125"/>
      <c r="AB27" s="125"/>
      <c r="AC27" s="125"/>
      <c r="AD27" s="125"/>
    </row>
    <row r="28" spans="1:30" ht="14.95" thickBot="1" x14ac:dyDescent="0.3">
      <c r="A28" s="17" t="s">
        <v>24</v>
      </c>
      <c r="B28" s="17" t="s">
        <v>76</v>
      </c>
      <c r="C28" s="105"/>
      <c r="D28" s="107">
        <v>2</v>
      </c>
      <c r="E28" s="2">
        <v>5</v>
      </c>
      <c r="F28" s="28">
        <v>0.53551506315581288</v>
      </c>
      <c r="G28" s="116">
        <v>0.50122061427650044</v>
      </c>
      <c r="H28" s="45">
        <v>1.0135545069638157</v>
      </c>
      <c r="I28" s="45">
        <v>0.84082787602186837</v>
      </c>
      <c r="J28" s="45">
        <f t="shared" si="69"/>
        <v>23.467984086572454</v>
      </c>
      <c r="K28" s="117"/>
      <c r="L28" s="116">
        <f t="shared" ref="L28:L48" si="74">$W$28*G28+$X$28</f>
        <v>17.383161792641395</v>
      </c>
      <c r="M28" s="116">
        <f t="shared" ref="M28:M48" si="75">$W$29*G28+$X$29</f>
        <v>-0.32754897063563315</v>
      </c>
      <c r="N28" s="116">
        <f t="shared" ref="N28:N48" si="76">$W$30*G28+$X$30</f>
        <v>1.5353380994809633</v>
      </c>
      <c r="O28" s="116">
        <f t="shared" ref="O28" si="77">$W$31*G28^$X$31</f>
        <v>1.43807947843629</v>
      </c>
      <c r="P28" s="116">
        <f t="shared" ref="P28:P48" si="78">$W$32*G28^$X$32</f>
        <v>7.7247079036032625E-3</v>
      </c>
      <c r="Q28" s="116">
        <f t="shared" ref="Q28:Q48" si="79">$W$33*G28+$X$33</f>
        <v>17.392466027702774</v>
      </c>
      <c r="R28" s="45">
        <f t="shared" ref="R28" si="80">(J28^L28)*(EXP(-(J28^M28)*N28*J28)+(O28/J28))^(J28*P28+Q28)</f>
        <v>325.07188000050763</v>
      </c>
      <c r="S28" s="45">
        <f t="shared" ref="S28" si="81">G28*R28</f>
        <v>162.93272737787129</v>
      </c>
      <c r="V28" s="24" t="s">
        <v>83</v>
      </c>
      <c r="W28" s="26">
        <v>-1.9033100000000001</v>
      </c>
      <c r="X28" s="26">
        <v>18.337140000000002</v>
      </c>
      <c r="Y28" s="126"/>
      <c r="Z28" s="126"/>
      <c r="AA28" s="126"/>
      <c r="AB28" s="126"/>
      <c r="AC28" s="126"/>
      <c r="AD28" s="126"/>
    </row>
    <row r="29" spans="1:30" ht="14.95" thickBot="1" x14ac:dyDescent="0.3">
      <c r="A29" s="17" t="s">
        <v>25</v>
      </c>
      <c r="B29" s="17" t="s">
        <v>77</v>
      </c>
      <c r="C29" s="105"/>
      <c r="D29" s="108"/>
      <c r="E29" s="3">
        <v>15</v>
      </c>
      <c r="F29" s="39">
        <v>0.38588672358547499</v>
      </c>
      <c r="G29" s="117"/>
      <c r="H29" s="51">
        <v>1.0135545069638157</v>
      </c>
      <c r="I29" s="51">
        <v>0.84082787602186837</v>
      </c>
      <c r="J29" s="51">
        <f t="shared" si="69"/>
        <v>23.467984086572454</v>
      </c>
      <c r="K29" s="117"/>
      <c r="L29" s="117"/>
      <c r="M29" s="117"/>
      <c r="N29" s="117"/>
      <c r="O29" s="117"/>
      <c r="P29" s="117"/>
      <c r="Q29" s="117"/>
      <c r="R29" s="45">
        <f t="shared" ref="R29:R48" si="82">(J29^L28)*(EXP(-(J29^M28)*N28*J29)+(O28/J29))^(J29*P28+Q28)</f>
        <v>325.07188000050763</v>
      </c>
      <c r="S29" s="51">
        <f t="shared" ref="S29" si="83">G28*R29</f>
        <v>162.93272737787129</v>
      </c>
      <c r="V29" s="24" t="s">
        <v>84</v>
      </c>
      <c r="W29" s="26">
        <v>3.771E-2</v>
      </c>
      <c r="X29" s="26">
        <v>-0.34644999999999998</v>
      </c>
      <c r="Y29" s="126"/>
      <c r="Z29" s="126"/>
      <c r="AA29" s="126"/>
      <c r="AB29" s="126"/>
      <c r="AC29" s="126"/>
      <c r="AD29" s="126"/>
    </row>
    <row r="30" spans="1:30" ht="14.95" thickBot="1" x14ac:dyDescent="0.3">
      <c r="A30" s="17" t="s">
        <v>26</v>
      </c>
      <c r="B30" s="17" t="s">
        <v>78</v>
      </c>
      <c r="C30" s="105"/>
      <c r="D30" s="109"/>
      <c r="E30" s="4">
        <v>30</v>
      </c>
      <c r="F30" s="40">
        <v>0.42898388663875936</v>
      </c>
      <c r="G30" s="118"/>
      <c r="H30" s="52">
        <v>1.0135545069638157</v>
      </c>
      <c r="I30" s="52">
        <v>0.84082787602186837</v>
      </c>
      <c r="J30" s="52">
        <f t="shared" si="69"/>
        <v>23.467984086572454</v>
      </c>
      <c r="K30" s="117"/>
      <c r="L30" s="118"/>
      <c r="M30" s="118"/>
      <c r="N30" s="118"/>
      <c r="O30" s="118"/>
      <c r="P30" s="118"/>
      <c r="Q30" s="118"/>
      <c r="R30" s="45">
        <f t="shared" ref="R30" si="84">(J30^L28)*(EXP(-(J30^M28)*N28*J30)+(O28/J30))^(J30*P28+Q28)</f>
        <v>325.07188000050763</v>
      </c>
      <c r="S30" s="52">
        <f t="shared" ref="S30" si="85">G28*R30</f>
        <v>162.93272737787129</v>
      </c>
      <c r="V30" s="24" t="s">
        <v>85</v>
      </c>
      <c r="W30" s="26">
        <v>-4.2520000000000002E-2</v>
      </c>
      <c r="X30" s="26">
        <v>1.5566500000000001</v>
      </c>
      <c r="Y30" s="126"/>
      <c r="Z30" s="126"/>
      <c r="AA30" s="126"/>
      <c r="AB30" s="126"/>
      <c r="AC30" s="126"/>
      <c r="AD30" s="126"/>
    </row>
    <row r="31" spans="1:30" ht="14.95" thickBot="1" x14ac:dyDescent="0.3">
      <c r="A31" s="17" t="s">
        <v>27</v>
      </c>
      <c r="B31" s="17" t="s">
        <v>79</v>
      </c>
      <c r="C31" s="105"/>
      <c r="D31" s="107">
        <v>3</v>
      </c>
      <c r="E31" s="2">
        <v>5</v>
      </c>
      <c r="F31" s="28">
        <v>0.51912605719563343</v>
      </c>
      <c r="G31" s="116">
        <v>0.48729623456405524</v>
      </c>
      <c r="H31" s="45">
        <v>1.0135545069638157</v>
      </c>
      <c r="I31" s="45">
        <v>0.84082787602186837</v>
      </c>
      <c r="J31" s="45">
        <f t="shared" si="69"/>
        <v>23.467984086572454</v>
      </c>
      <c r="K31" s="117"/>
      <c r="L31" s="116">
        <f t="shared" ref="L31:L48" si="86">$W$28*G31+$X$28</f>
        <v>17.409664203791891</v>
      </c>
      <c r="M31" s="116">
        <f t="shared" ref="M31:M48" si="87">$W$29*G31+$X$29</f>
        <v>-0.32807405899458947</v>
      </c>
      <c r="N31" s="116">
        <f t="shared" ref="N31:N48" si="88">$W$30*G31+$X$30</f>
        <v>1.5359301641063365</v>
      </c>
      <c r="O31" s="116">
        <f t="shared" ref="O31" si="89">$W$31*G31^$X$31</f>
        <v>1.4379356515669088</v>
      </c>
      <c r="P31" s="116">
        <f t="shared" ref="P31:P48" si="90">$W$32*G31^$X$32</f>
        <v>7.726947712163543E-3</v>
      </c>
      <c r="Q31" s="116">
        <f t="shared" ref="Q31:Q48" si="91">$W$33*G31+$X$33</f>
        <v>17.418463819332487</v>
      </c>
      <c r="R31" s="45">
        <f t="shared" ref="R31" si="92">(J31^L31)*(EXP(-(J31^M31)*N31*J31)+(O31/J31))^(J31*P31+Q31)</f>
        <v>328.05815728330123</v>
      </c>
      <c r="S31" s="45">
        <f t="shared" ref="S31" si="93">G31*R31</f>
        <v>159.86150476217529</v>
      </c>
      <c r="V31" s="24" t="s">
        <v>86</v>
      </c>
      <c r="W31" s="26">
        <v>1.4416100000000001</v>
      </c>
      <c r="X31" s="26">
        <v>3.5500000000000002E-3</v>
      </c>
      <c r="Y31" s="126"/>
      <c r="Z31" s="126"/>
      <c r="AA31" s="126"/>
      <c r="AB31" s="126"/>
      <c r="AC31" s="126"/>
      <c r="AD31" s="126"/>
    </row>
    <row r="32" spans="1:30" ht="14.95" thickBot="1" x14ac:dyDescent="0.3">
      <c r="A32" s="17" t="s">
        <v>28</v>
      </c>
      <c r="B32" s="17" t="s">
        <v>80</v>
      </c>
      <c r="C32" s="105"/>
      <c r="D32" s="108"/>
      <c r="E32" s="3">
        <v>15</v>
      </c>
      <c r="F32" s="39">
        <v>0.38703234244869372</v>
      </c>
      <c r="G32" s="117"/>
      <c r="H32" s="51">
        <v>1.0135545069638157</v>
      </c>
      <c r="I32" s="51">
        <v>0.84082787602186837</v>
      </c>
      <c r="J32" s="51">
        <f t="shared" si="69"/>
        <v>23.467984086572454</v>
      </c>
      <c r="K32" s="117"/>
      <c r="L32" s="117"/>
      <c r="M32" s="117"/>
      <c r="N32" s="117"/>
      <c r="O32" s="117"/>
      <c r="P32" s="117"/>
      <c r="Q32" s="117"/>
      <c r="R32" s="45">
        <f t="shared" ref="R32:R48" si="94">(J32^L31)*(EXP(-(J32^M31)*N31*J32)+(O31/J32))^(J32*P31+Q31)</f>
        <v>328.05815728330123</v>
      </c>
      <c r="S32" s="51">
        <f t="shared" ref="S32" si="95">G31*R32</f>
        <v>159.86150476217529</v>
      </c>
      <c r="V32" s="24" t="s">
        <v>87</v>
      </c>
      <c r="W32" s="26">
        <v>7.6699999999999997E-3</v>
      </c>
      <c r="X32" s="26">
        <v>-1.0290000000000001E-2</v>
      </c>
      <c r="Y32" s="126"/>
      <c r="Z32" s="126"/>
      <c r="AA32" s="126"/>
      <c r="AB32" s="126"/>
      <c r="AC32" s="126"/>
      <c r="AD32" s="126"/>
    </row>
    <row r="33" spans="1:30" ht="14.95" thickBot="1" x14ac:dyDescent="0.3">
      <c r="A33" s="17" t="s">
        <v>29</v>
      </c>
      <c r="B33" s="17">
        <v>1</v>
      </c>
      <c r="C33" s="105"/>
      <c r="D33" s="109"/>
      <c r="E33" s="4">
        <v>30</v>
      </c>
      <c r="F33" s="40">
        <v>0.37230377714958307</v>
      </c>
      <c r="G33" s="118"/>
      <c r="H33" s="52">
        <v>1.0135545069638157</v>
      </c>
      <c r="I33" s="52">
        <v>0.84082787602186837</v>
      </c>
      <c r="J33" s="52">
        <f t="shared" si="69"/>
        <v>23.467984086572454</v>
      </c>
      <c r="K33" s="117"/>
      <c r="L33" s="118"/>
      <c r="M33" s="118"/>
      <c r="N33" s="118"/>
      <c r="O33" s="118"/>
      <c r="P33" s="118"/>
      <c r="Q33" s="118"/>
      <c r="R33" s="45">
        <f t="shared" ref="R33" si="96">(J33^L31)*(EXP(-(J33^M31)*N31*J33)+(O31/J33))^(J33*P31+Q31)</f>
        <v>328.05815728330123</v>
      </c>
      <c r="S33" s="52">
        <f t="shared" ref="S33" si="97">G31*R33</f>
        <v>159.86150476217529</v>
      </c>
      <c r="V33" s="24" t="s">
        <v>88</v>
      </c>
      <c r="W33" s="26">
        <v>-1.86707</v>
      </c>
      <c r="X33" s="26">
        <v>18.328279999999999</v>
      </c>
      <c r="Y33" s="126"/>
      <c r="Z33" s="126"/>
      <c r="AA33" s="126"/>
      <c r="AB33" s="126"/>
      <c r="AC33" s="126"/>
      <c r="AD33" s="126"/>
    </row>
    <row r="34" spans="1:30" ht="14.95" thickBot="1" x14ac:dyDescent="0.3">
      <c r="A34" s="17" t="s">
        <v>30</v>
      </c>
      <c r="B34" s="17">
        <v>2</v>
      </c>
      <c r="C34" s="105"/>
      <c r="D34" s="107">
        <v>4</v>
      </c>
      <c r="E34" s="2">
        <v>5</v>
      </c>
      <c r="F34" s="28">
        <v>0.53373299921380224</v>
      </c>
      <c r="G34" s="116">
        <v>0.53229910349312259</v>
      </c>
      <c r="H34" s="45">
        <v>1.0135545069638157</v>
      </c>
      <c r="I34" s="45">
        <v>0.84082787602186837</v>
      </c>
      <c r="J34" s="45">
        <f t="shared" si="69"/>
        <v>23.467984086572454</v>
      </c>
      <c r="K34" s="117"/>
      <c r="L34" s="116">
        <f t="shared" ref="L34:L48" si="98">$W$28*G34+$X$28</f>
        <v>17.324009793330507</v>
      </c>
      <c r="M34" s="116">
        <f t="shared" ref="M34:M48" si="99">$W$29*G34+$X$29</f>
        <v>-0.32637700080727433</v>
      </c>
      <c r="N34" s="116">
        <f t="shared" ref="N34:N48" si="100">$W$30*G34+$X$30</f>
        <v>1.5340166421194725</v>
      </c>
      <c r="O34" s="116">
        <f t="shared" ref="O34" si="101">$W$31*G34^$X$31</f>
        <v>1.4383866349281385</v>
      </c>
      <c r="P34" s="116">
        <f t="shared" ref="P34:P48" si="102">$W$32*G34^$X$32</f>
        <v>7.7199274940413483E-3</v>
      </c>
      <c r="Q34" s="116">
        <f t="shared" ref="Q34:Q48" si="103">$W$33*G34+$X$33</f>
        <v>17.334440312841096</v>
      </c>
      <c r="R34" s="45">
        <f t="shared" ref="R34" si="104">(J34^L34)*(EXP(-(J34^M34)*N34*J34)+(O34/J34))^(J34*P34+Q34)</f>
        <v>318.44011942601406</v>
      </c>
      <c r="S34" s="45">
        <f t="shared" ref="S34" si="105">G34*R34</f>
        <v>169.50539008671018</v>
      </c>
      <c r="V34" s="125"/>
      <c r="W34" s="126"/>
      <c r="X34" s="126"/>
      <c r="Y34" s="126"/>
      <c r="Z34" s="126"/>
      <c r="AA34" s="126"/>
      <c r="AB34" s="126"/>
      <c r="AC34" s="126"/>
      <c r="AD34" s="126"/>
    </row>
    <row r="35" spans="1:30" ht="14.95" thickBot="1" x14ac:dyDescent="0.3">
      <c r="A35" s="17" t="s">
        <v>31</v>
      </c>
      <c r="B35" s="17">
        <v>3</v>
      </c>
      <c r="C35" s="105"/>
      <c r="D35" s="108"/>
      <c r="E35" s="3">
        <v>15</v>
      </c>
      <c r="F35" s="39">
        <v>0.5445816487683629</v>
      </c>
      <c r="G35" s="117"/>
      <c r="H35" s="51">
        <v>1.0135545069638157</v>
      </c>
      <c r="I35" s="51">
        <v>0.84082787602186837</v>
      </c>
      <c r="J35" s="51">
        <f t="shared" si="69"/>
        <v>23.467984086572454</v>
      </c>
      <c r="K35" s="117"/>
      <c r="L35" s="117"/>
      <c r="M35" s="117"/>
      <c r="N35" s="117"/>
      <c r="O35" s="117"/>
      <c r="P35" s="117"/>
      <c r="Q35" s="117"/>
      <c r="R35" s="45">
        <f t="shared" ref="R35:R48" si="106">(J35^L34)*(EXP(-(J35^M34)*N34*J35)+(O34/J35))^(J35*P34+Q34)</f>
        <v>318.44011942601406</v>
      </c>
      <c r="S35" s="51">
        <f t="shared" ref="S35" si="107">G34*R35</f>
        <v>169.50539008671018</v>
      </c>
      <c r="V35" s="125"/>
      <c r="W35" s="126"/>
      <c r="X35" s="126"/>
      <c r="Y35" s="126"/>
      <c r="Z35" s="126"/>
      <c r="AA35" s="126"/>
      <c r="AB35" s="126"/>
      <c r="AC35" s="126"/>
      <c r="AD35" s="126"/>
    </row>
    <row r="36" spans="1:30" ht="14.95" thickBot="1" x14ac:dyDescent="0.3">
      <c r="A36" s="17" t="s">
        <v>32</v>
      </c>
      <c r="B36" s="17">
        <v>4</v>
      </c>
      <c r="C36" s="105"/>
      <c r="D36" s="109"/>
      <c r="E36" s="4">
        <v>30</v>
      </c>
      <c r="F36" s="40">
        <v>0.36651425876066923</v>
      </c>
      <c r="G36" s="118"/>
      <c r="H36" s="52">
        <v>1.0135545069638157</v>
      </c>
      <c r="I36" s="52">
        <v>0.84082787602186837</v>
      </c>
      <c r="J36" s="52">
        <f t="shared" si="69"/>
        <v>23.467984086572454</v>
      </c>
      <c r="K36" s="117"/>
      <c r="L36" s="118"/>
      <c r="M36" s="118"/>
      <c r="N36" s="118"/>
      <c r="O36" s="118"/>
      <c r="P36" s="118"/>
      <c r="Q36" s="118"/>
      <c r="R36" s="45">
        <f t="shared" ref="R36" si="108">(J36^L34)*(EXP(-(J36^M34)*N34*J36)+(O34/J36))^(J36*P34+Q34)</f>
        <v>318.44011942601406</v>
      </c>
      <c r="S36" s="52">
        <f t="shared" ref="S36" si="109">G34*R36</f>
        <v>169.50539008671018</v>
      </c>
      <c r="V36" s="125"/>
      <c r="W36" s="126"/>
      <c r="X36" s="126"/>
      <c r="Y36" s="126"/>
      <c r="Z36" s="126"/>
      <c r="AA36" s="126"/>
      <c r="AB36" s="126"/>
      <c r="AC36" s="126"/>
      <c r="AD36" s="126"/>
    </row>
    <row r="37" spans="1:30" ht="14.95" thickBot="1" x14ac:dyDescent="0.3">
      <c r="A37" s="17" t="s">
        <v>33</v>
      </c>
      <c r="B37" s="17">
        <v>5</v>
      </c>
      <c r="C37" s="105"/>
      <c r="D37" s="107">
        <v>5</v>
      </c>
      <c r="E37" s="2">
        <v>5</v>
      </c>
      <c r="F37" s="28">
        <v>0.65193436793004433</v>
      </c>
      <c r="G37" s="116">
        <v>0.6104330285342584</v>
      </c>
      <c r="H37" s="45">
        <v>1.0135545069638157</v>
      </c>
      <c r="I37" s="45">
        <v>0.84082787602186837</v>
      </c>
      <c r="J37" s="45">
        <f t="shared" si="69"/>
        <v>23.467984086572454</v>
      </c>
      <c r="K37" s="117"/>
      <c r="L37" s="116">
        <f t="shared" ref="L37:L48" si="110">$W$28*G37+$X$28</f>
        <v>17.175296712460462</v>
      </c>
      <c r="M37" s="116">
        <f t="shared" ref="M37:M48" si="111">$W$29*G37+$X$29</f>
        <v>-0.32343057049397311</v>
      </c>
      <c r="N37" s="116">
        <f t="shared" ref="N37:N48" si="112">$W$30*G37+$X$30</f>
        <v>1.5306943876267234</v>
      </c>
      <c r="O37" s="116">
        <f t="shared" ref="O37" si="113">$W$31*G37^$X$31</f>
        <v>1.4390861755514757</v>
      </c>
      <c r="P37" s="116">
        <f t="shared" ref="P37:P48" si="114">$W$32*G37^$X$32</f>
        <v>7.7090550806207265E-3</v>
      </c>
      <c r="Q37" s="116">
        <f t="shared" ref="Q37:Q48" si="115">$W$33*G37+$X$33</f>
        <v>17.188558805414541</v>
      </c>
      <c r="R37" s="45">
        <f t="shared" ref="R37" si="116">(J37^L37)*(EXP(-(J37^M37)*N37*J37)+(O37/J37))^(J37*P37+Q37)</f>
        <v>302.03832647057709</v>
      </c>
      <c r="S37" s="45">
        <f t="shared" ref="S37" si="117">G37*R37</f>
        <v>184.37417036085344</v>
      </c>
      <c r="V37" s="125"/>
      <c r="W37" s="126"/>
      <c r="X37" s="126"/>
      <c r="Y37" s="126"/>
      <c r="Z37" s="126"/>
      <c r="AA37" s="126"/>
      <c r="AB37" s="126"/>
      <c r="AC37" s="126"/>
      <c r="AD37" s="126"/>
    </row>
    <row r="38" spans="1:30" ht="14.95" thickBot="1" x14ac:dyDescent="0.3">
      <c r="A38" s="17" t="s">
        <v>34</v>
      </c>
      <c r="B38" s="17">
        <v>6</v>
      </c>
      <c r="C38" s="105"/>
      <c r="D38" s="108"/>
      <c r="E38" s="3">
        <v>15</v>
      </c>
      <c r="F38" s="39">
        <v>0.4438182998345791</v>
      </c>
      <c r="G38" s="117"/>
      <c r="H38" s="51">
        <v>1.0135545069638157</v>
      </c>
      <c r="I38" s="51">
        <v>0.84082787602186837</v>
      </c>
      <c r="J38" s="51">
        <f t="shared" si="69"/>
        <v>23.467984086572454</v>
      </c>
      <c r="K38" s="117"/>
      <c r="L38" s="117"/>
      <c r="M38" s="117"/>
      <c r="N38" s="117"/>
      <c r="O38" s="117"/>
      <c r="P38" s="117"/>
      <c r="Q38" s="117"/>
      <c r="R38" s="45">
        <f t="shared" ref="R38:R48" si="118">(J38^L37)*(EXP(-(J38^M37)*N37*J38)+(O37/J38))^(J38*P37+Q37)</f>
        <v>302.03832647057709</v>
      </c>
      <c r="S38" s="51">
        <f t="shared" ref="S38" si="119">G37*R38</f>
        <v>184.37417036085344</v>
      </c>
      <c r="V38" s="125"/>
      <c r="W38" s="126"/>
      <c r="X38" s="126"/>
      <c r="Y38" s="126"/>
      <c r="Z38" s="126"/>
      <c r="AA38" s="126"/>
      <c r="AB38" s="126"/>
      <c r="AC38" s="126"/>
      <c r="AD38" s="126"/>
    </row>
    <row r="39" spans="1:30" ht="14.95" thickBot="1" x14ac:dyDescent="0.3">
      <c r="A39" s="17" t="s">
        <v>35</v>
      </c>
      <c r="B39" s="17">
        <v>7</v>
      </c>
      <c r="C39" s="106"/>
      <c r="D39" s="109"/>
      <c r="E39" s="4">
        <v>30</v>
      </c>
      <c r="F39" s="40">
        <v>0.45759081949893632</v>
      </c>
      <c r="G39" s="118"/>
      <c r="H39" s="52">
        <v>1.0135545069638157</v>
      </c>
      <c r="I39" s="52">
        <v>0.84082787602186837</v>
      </c>
      <c r="J39" s="52">
        <f t="shared" si="69"/>
        <v>23.467984086572454</v>
      </c>
      <c r="K39" s="118"/>
      <c r="L39" s="118"/>
      <c r="M39" s="118"/>
      <c r="N39" s="118"/>
      <c r="O39" s="118"/>
      <c r="P39" s="118"/>
      <c r="Q39" s="118"/>
      <c r="R39" s="45">
        <f t="shared" ref="R39" si="120">(J39^L37)*(EXP(-(J39^M37)*N37*J39)+(O37/J39))^(J39*P37+Q37)</f>
        <v>302.03832647057709</v>
      </c>
      <c r="S39" s="52">
        <f t="shared" ref="S39" si="121">G37*R39</f>
        <v>184.37417036085344</v>
      </c>
      <c r="V39" s="131"/>
      <c r="W39" s="124"/>
      <c r="X39" s="124"/>
      <c r="Y39" s="126"/>
      <c r="Z39" s="126"/>
      <c r="AA39" s="126"/>
      <c r="AB39" s="126"/>
      <c r="AC39" s="126"/>
      <c r="AD39" s="126"/>
    </row>
    <row r="40" spans="1:30" ht="14.95" thickBot="1" x14ac:dyDescent="0.3">
      <c r="A40" s="17" t="s">
        <v>36</v>
      </c>
      <c r="B40" s="17">
        <v>8</v>
      </c>
      <c r="C40" s="104">
        <v>50</v>
      </c>
      <c r="D40" s="107">
        <v>1</v>
      </c>
      <c r="E40" s="2">
        <v>5</v>
      </c>
      <c r="F40" s="28">
        <v>0.6506085286778418</v>
      </c>
      <c r="G40" s="116">
        <v>0.60152411100488179</v>
      </c>
      <c r="H40" s="45">
        <v>1.0135545069638157</v>
      </c>
      <c r="I40" s="45">
        <v>0.84082787602186837</v>
      </c>
      <c r="J40" s="45">
        <f>$C$40/H40/I40</f>
        <v>58.669960216431136</v>
      </c>
      <c r="K40" s="116">
        <f>C40*((0.5/(0.86-EXP(-X43/1012)))^-1)</f>
        <v>48.598097601858839</v>
      </c>
      <c r="L40" s="116">
        <f t="shared" ref="L40:L48" si="122">$W$28*G40+$X$28</f>
        <v>17.192253144283299</v>
      </c>
      <c r="M40" s="116">
        <f t="shared" ref="M40:M48" si="123">$W$29*G40+$X$29</f>
        <v>-0.32376652577400589</v>
      </c>
      <c r="N40" s="116">
        <f t="shared" ref="N40:N48" si="124">$W$30*G40+$X$30</f>
        <v>1.5310731948000724</v>
      </c>
      <c r="O40" s="116">
        <f t="shared" ref="O40" si="125">$W$31*G40^$X$31</f>
        <v>1.4390110687415183</v>
      </c>
      <c r="P40" s="116">
        <f t="shared" ref="P40:P48" si="126">$W$32*G40^$X$32</f>
        <v>7.710221419814786E-3</v>
      </c>
      <c r="Q40" s="116">
        <f t="shared" ref="Q40:Q48" si="127">$W$33*G40+$X$33</f>
        <v>17.205192378066116</v>
      </c>
      <c r="R40" s="45">
        <f t="shared" ref="R40" si="128">(J40^L40)*(EXP(-(J40^M40)*N40*J40)+(O40/J40))^(J40*P40+Q40)</f>
        <v>92.936397531459889</v>
      </c>
      <c r="S40" s="45">
        <f t="shared" ref="S40" si="129">G40*R40</f>
        <v>55.903483905107699</v>
      </c>
    </row>
    <row r="41" spans="1:30" ht="14.95" thickBot="1" x14ac:dyDescent="0.3">
      <c r="A41" s="17" t="s">
        <v>39</v>
      </c>
      <c r="B41" s="17">
        <v>9</v>
      </c>
      <c r="C41" s="105"/>
      <c r="D41" s="108"/>
      <c r="E41" s="3">
        <v>15</v>
      </c>
      <c r="F41" s="39">
        <v>0.41895741564354694</v>
      </c>
      <c r="G41" s="117"/>
      <c r="H41" s="51">
        <v>1.0135545069638157</v>
      </c>
      <c r="I41" s="51">
        <v>0.84082787602186837</v>
      </c>
      <c r="J41" s="51">
        <f t="shared" ref="J41:J48" si="130">$C$40/H41/I41</f>
        <v>58.669960216431136</v>
      </c>
      <c r="K41" s="117"/>
      <c r="L41" s="117"/>
      <c r="M41" s="117"/>
      <c r="N41" s="117"/>
      <c r="O41" s="117"/>
      <c r="P41" s="117"/>
      <c r="Q41" s="117"/>
      <c r="R41" s="45">
        <f t="shared" ref="R41:R48" si="131">(J41^L40)*(EXP(-(J41^M40)*N40*J41)+(O40/J41))^(J41*P40+Q40)</f>
        <v>92.936397531459889</v>
      </c>
      <c r="S41" s="51">
        <f t="shared" ref="S41" si="132">G40*R41</f>
        <v>55.903483905107699</v>
      </c>
    </row>
    <row r="42" spans="1:30" ht="18.350000000000001" thickBot="1" x14ac:dyDescent="0.4">
      <c r="A42" s="17" t="s">
        <v>40</v>
      </c>
      <c r="B42" s="17">
        <v>10</v>
      </c>
      <c r="C42" s="105"/>
      <c r="D42" s="109"/>
      <c r="E42" s="4">
        <v>30</v>
      </c>
      <c r="F42" s="40">
        <v>0.40923271322241733</v>
      </c>
      <c r="G42" s="118"/>
      <c r="H42" s="52">
        <v>1.0135545069638157</v>
      </c>
      <c r="I42" s="52">
        <v>0.84082787602186837</v>
      </c>
      <c r="J42" s="52">
        <f t="shared" si="130"/>
        <v>58.669960216431136</v>
      </c>
      <c r="K42" s="117"/>
      <c r="L42" s="118"/>
      <c r="M42" s="118"/>
      <c r="N42" s="118"/>
      <c r="O42" s="118"/>
      <c r="P42" s="118"/>
      <c r="Q42" s="118"/>
      <c r="R42" s="45">
        <f t="shared" ref="R42" si="133">(J42^L40)*(EXP(-(J42^M40)*N40*J42)+(O40/J42))^(J42*P40+Q40)</f>
        <v>92.936397531459889</v>
      </c>
      <c r="S42" s="52">
        <f t="shared" ref="S42" si="134">G40*R42</f>
        <v>55.903483905107699</v>
      </c>
      <c r="W42" s="27" t="s">
        <v>111</v>
      </c>
      <c r="X42" t="s">
        <v>108</v>
      </c>
      <c r="Y42" t="s">
        <v>107</v>
      </c>
    </row>
    <row r="43" spans="1:30" ht="14.95" thickBot="1" x14ac:dyDescent="0.3">
      <c r="A43" s="17" t="s">
        <v>41</v>
      </c>
      <c r="B43" s="17">
        <v>11</v>
      </c>
      <c r="C43" s="105"/>
      <c r="D43" s="107">
        <v>2</v>
      </c>
      <c r="E43" s="2">
        <v>5</v>
      </c>
      <c r="F43" s="28">
        <v>0.54071375268864419</v>
      </c>
      <c r="G43" s="116">
        <v>0.50850656208880241</v>
      </c>
      <c r="H43" s="45">
        <v>1.0135545069638157</v>
      </c>
      <c r="I43" s="45">
        <v>0.84082787602186837</v>
      </c>
      <c r="J43" s="45">
        <f t="shared" si="130"/>
        <v>58.669960216431136</v>
      </c>
      <c r="K43" s="117"/>
      <c r="L43" s="116">
        <f t="shared" ref="L43:L48" si="135">$W$28*G43+$X$28</f>
        <v>17.369294375310762</v>
      </c>
      <c r="M43" s="116">
        <f t="shared" ref="M43:M48" si="136">$W$29*G43+$X$29</f>
        <v>-0.32727421754363123</v>
      </c>
      <c r="N43" s="116">
        <f t="shared" ref="N43:N48" si="137">$W$30*G43+$X$30</f>
        <v>1.5350283009799841</v>
      </c>
      <c r="O43" s="116">
        <f t="shared" ref="O43" si="138">$W$31*G43^$X$31</f>
        <v>1.438153157128959</v>
      </c>
      <c r="P43" s="116">
        <f t="shared" ref="P43:P48" si="139">$W$32*G43^$X$32</f>
        <v>7.7235608472922389E-3</v>
      </c>
      <c r="Q43" s="116">
        <f t="shared" ref="Q43:Q48" si="140">$W$33*G43+$X$33</f>
        <v>17.378862653120859</v>
      </c>
      <c r="R43" s="45">
        <f t="shared" ref="R43" si="141">(J43^L43)*(EXP(-(J43^M43)*N43*J43)+(O43/J43))^(J43*P43+Q43)</f>
        <v>99.019202306345576</v>
      </c>
      <c r="S43" s="45">
        <f t="shared" ref="S43" si="142">G43*R43</f>
        <v>50.351914145575407</v>
      </c>
      <c r="W43">
        <f>18/9.81</f>
        <v>1.8348623853211008</v>
      </c>
      <c r="X43">
        <v>995.25</v>
      </c>
      <c r="Y43">
        <v>10.210000000000001</v>
      </c>
    </row>
    <row r="44" spans="1:30" ht="14.95" thickBot="1" x14ac:dyDescent="0.3">
      <c r="A44" s="17" t="s">
        <v>37</v>
      </c>
      <c r="B44" s="17">
        <v>12</v>
      </c>
      <c r="C44" s="105"/>
      <c r="D44" s="108"/>
      <c r="E44" s="3">
        <v>15</v>
      </c>
      <c r="F44" s="39">
        <v>0.4022233119657741</v>
      </c>
      <c r="G44" s="117"/>
      <c r="H44" s="51">
        <v>1.0135545069638157</v>
      </c>
      <c r="I44" s="51">
        <v>0.84082787602186837</v>
      </c>
      <c r="J44" s="51">
        <f t="shared" si="130"/>
        <v>58.669960216431136</v>
      </c>
      <c r="K44" s="117"/>
      <c r="L44" s="117"/>
      <c r="M44" s="117"/>
      <c r="N44" s="117"/>
      <c r="O44" s="117"/>
      <c r="P44" s="117"/>
      <c r="Q44" s="117"/>
      <c r="R44" s="45">
        <f t="shared" ref="R44:R48" si="143">(J44^L43)*(EXP(-(J44^M43)*N43*J44)+(O43/J44))^(J44*P43+Q43)</f>
        <v>99.019202306345576</v>
      </c>
      <c r="S44" s="51">
        <f t="shared" ref="S44" si="144">G43*R44</f>
        <v>50.351914145575407</v>
      </c>
    </row>
    <row r="45" spans="1:30" ht="14.95" thickBot="1" x14ac:dyDescent="0.3">
      <c r="A45" s="17" t="s">
        <v>38</v>
      </c>
      <c r="B45" s="17">
        <v>13</v>
      </c>
      <c r="C45" s="105"/>
      <c r="D45" s="109"/>
      <c r="E45" s="4">
        <v>30</v>
      </c>
      <c r="F45" s="40">
        <v>0.38219518643151645</v>
      </c>
      <c r="G45" s="118"/>
      <c r="H45" s="52">
        <v>1.0135545069638157</v>
      </c>
      <c r="I45" s="52">
        <v>0.84082787602186837</v>
      </c>
      <c r="J45" s="52">
        <f t="shared" si="130"/>
        <v>58.669960216431136</v>
      </c>
      <c r="K45" s="117"/>
      <c r="L45" s="118"/>
      <c r="M45" s="118"/>
      <c r="N45" s="118"/>
      <c r="O45" s="118"/>
      <c r="P45" s="118"/>
      <c r="Q45" s="118"/>
      <c r="R45" s="45">
        <f t="shared" ref="R45" si="145">(J45^L43)*(EXP(-(J45^M43)*N43*J45)+(O43/J45))^(J45*P43+Q43)</f>
        <v>99.019202306345576</v>
      </c>
      <c r="S45" s="52">
        <f t="shared" ref="S45" si="146">G43*R45</f>
        <v>50.351914145575407</v>
      </c>
    </row>
    <row r="46" spans="1:30" ht="14.95" thickBot="1" x14ac:dyDescent="0.3">
      <c r="A46" s="17" t="s">
        <v>42</v>
      </c>
      <c r="B46" s="17">
        <v>14</v>
      </c>
      <c r="C46" s="105"/>
      <c r="D46" s="107">
        <v>3</v>
      </c>
      <c r="E46" s="2">
        <v>5</v>
      </c>
      <c r="F46" s="28">
        <v>0.65432923601147475</v>
      </c>
      <c r="G46" s="116">
        <v>0.60279755146589009</v>
      </c>
      <c r="H46" s="45">
        <v>1.0135545069638157</v>
      </c>
      <c r="I46" s="45">
        <v>0.84082787602186837</v>
      </c>
      <c r="J46" s="45">
        <f t="shared" si="130"/>
        <v>58.669960216431136</v>
      </c>
      <c r="K46" s="117"/>
      <c r="L46" s="116">
        <f t="shared" ref="L46:L48" si="147">$W$28*G46+$X$28</f>
        <v>17.18982939231946</v>
      </c>
      <c r="M46" s="116">
        <f t="shared" ref="M46:M48" si="148">$W$29*G46+$X$29</f>
        <v>-0.32371850433422128</v>
      </c>
      <c r="N46" s="116">
        <f t="shared" ref="N46:N48" si="149">$W$30*G46+$X$30</f>
        <v>1.5310190481116703</v>
      </c>
      <c r="O46" s="116">
        <f t="shared" ref="O46" si="150">$W$31*G46^$X$31</f>
        <v>1.4390218721406574</v>
      </c>
      <c r="P46" s="116">
        <f t="shared" ref="P46:P48" si="151">$W$32*G46^$X$32</f>
        <v>7.7100536384188192E-3</v>
      </c>
      <c r="Q46" s="116">
        <f t="shared" ref="Q46:Q48" si="152">$W$33*G46+$X$33</f>
        <v>17.202814775584581</v>
      </c>
      <c r="R46" s="45">
        <f t="shared" ref="R46" si="153">(J46^L46)*(EXP(-(J46^M46)*N46*J46)+(O46/J46))^(J46*P46+Q46)</f>
        <v>92.854258164549421</v>
      </c>
      <c r="S46" s="45">
        <f t="shared" ref="S46" si="154">G46*R46</f>
        <v>55.972319464772028</v>
      </c>
    </row>
    <row r="47" spans="1:30" ht="14.95" thickBot="1" x14ac:dyDescent="0.3">
      <c r="A47" s="17" t="s">
        <v>43</v>
      </c>
      <c r="B47" s="17">
        <v>15</v>
      </c>
      <c r="C47" s="105"/>
      <c r="D47" s="108"/>
      <c r="E47" s="3">
        <v>15</v>
      </c>
      <c r="F47" s="39">
        <v>0.40922055329286422</v>
      </c>
      <c r="G47" s="117"/>
      <c r="H47" s="51">
        <v>1.0135545069638157</v>
      </c>
      <c r="I47" s="51">
        <v>0.84082787602186837</v>
      </c>
      <c r="J47" s="51">
        <f t="shared" si="130"/>
        <v>58.669960216431136</v>
      </c>
      <c r="K47" s="117"/>
      <c r="L47" s="117"/>
      <c r="M47" s="117"/>
      <c r="N47" s="117"/>
      <c r="O47" s="117"/>
      <c r="P47" s="117"/>
      <c r="Q47" s="117"/>
      <c r="R47" s="45">
        <f t="shared" ref="R47:R48" si="155">(J47^L46)*(EXP(-(J47^M46)*N46*J47)+(O46/J47))^(J47*P46+Q46)</f>
        <v>92.854258164549421</v>
      </c>
      <c r="S47" s="51">
        <f t="shared" ref="S47" si="156">G46*R47</f>
        <v>55.972319464772028</v>
      </c>
    </row>
    <row r="48" spans="1:30" ht="14.95" thickBot="1" x14ac:dyDescent="0.3">
      <c r="A48" s="18" t="s">
        <v>43</v>
      </c>
      <c r="B48" s="18">
        <v>16</v>
      </c>
      <c r="C48" s="106"/>
      <c r="D48" s="109"/>
      <c r="E48" s="4">
        <v>30</v>
      </c>
      <c r="F48" s="40">
        <v>0.44697520103882299</v>
      </c>
      <c r="G48" s="118"/>
      <c r="H48" s="52">
        <v>1.0135545069638157</v>
      </c>
      <c r="I48" s="52">
        <v>0.84082787602186837</v>
      </c>
      <c r="J48" s="52">
        <f t="shared" si="130"/>
        <v>58.669960216431136</v>
      </c>
      <c r="K48" s="118"/>
      <c r="L48" s="118"/>
      <c r="M48" s="118"/>
      <c r="N48" s="118"/>
      <c r="O48" s="118"/>
      <c r="P48" s="118"/>
      <c r="Q48" s="118"/>
      <c r="R48" s="45">
        <f t="shared" ref="R48" si="157">(J48^L46)*(EXP(-(J48^M46)*N46*J48)+(O46/J48))^(J48*P46+Q46)</f>
        <v>92.854258164549421</v>
      </c>
      <c r="S48" s="52">
        <f t="shared" ref="S48" si="158">G46*R48</f>
        <v>55.972319464772028</v>
      </c>
    </row>
    <row r="49" spans="11:11" x14ac:dyDescent="0.25">
      <c r="K49" t="s">
        <v>180</v>
      </c>
    </row>
  </sheetData>
  <mergeCells count="119">
    <mergeCell ref="K7:K24"/>
    <mergeCell ref="K25:K39"/>
    <mergeCell ref="K40:K48"/>
    <mergeCell ref="Q43:Q45"/>
    <mergeCell ref="L46:L48"/>
    <mergeCell ref="M46:M48"/>
    <mergeCell ref="N46:N48"/>
    <mergeCell ref="O46:O48"/>
    <mergeCell ref="P46:P48"/>
    <mergeCell ref="Q46:Q48"/>
    <mergeCell ref="L43:L45"/>
    <mergeCell ref="M43:M45"/>
    <mergeCell ref="N43:N45"/>
    <mergeCell ref="O43:O45"/>
    <mergeCell ref="P43:P45"/>
    <mergeCell ref="Q37:Q39"/>
    <mergeCell ref="L40:L42"/>
    <mergeCell ref="M40:M42"/>
    <mergeCell ref="N40:N42"/>
    <mergeCell ref="O40:O42"/>
    <mergeCell ref="P40:P42"/>
    <mergeCell ref="Q40:Q42"/>
    <mergeCell ref="L37:L39"/>
    <mergeCell ref="M37:M39"/>
    <mergeCell ref="N37:N39"/>
    <mergeCell ref="O37:O39"/>
    <mergeCell ref="P37:P39"/>
    <mergeCell ref="Q31:Q33"/>
    <mergeCell ref="L34:L36"/>
    <mergeCell ref="M34:M36"/>
    <mergeCell ref="N34:N36"/>
    <mergeCell ref="O34:O36"/>
    <mergeCell ref="P34:P36"/>
    <mergeCell ref="Q34:Q36"/>
    <mergeCell ref="L31:L33"/>
    <mergeCell ref="M31:M33"/>
    <mergeCell ref="N31:N33"/>
    <mergeCell ref="O31:O33"/>
    <mergeCell ref="P31:P33"/>
    <mergeCell ref="Q25:Q27"/>
    <mergeCell ref="L28:L30"/>
    <mergeCell ref="M28:M30"/>
    <mergeCell ref="N28:N30"/>
    <mergeCell ref="O28:O30"/>
    <mergeCell ref="P28:P30"/>
    <mergeCell ref="Q28:Q30"/>
    <mergeCell ref="L25:L27"/>
    <mergeCell ref="M25:M27"/>
    <mergeCell ref="N25:N27"/>
    <mergeCell ref="O25:O27"/>
    <mergeCell ref="P25:P27"/>
    <mergeCell ref="Q19:Q21"/>
    <mergeCell ref="L22:L24"/>
    <mergeCell ref="M22:M24"/>
    <mergeCell ref="N22:N24"/>
    <mergeCell ref="O22:O24"/>
    <mergeCell ref="P22:P24"/>
    <mergeCell ref="Q22:Q24"/>
    <mergeCell ref="L19:L21"/>
    <mergeCell ref="M19:M21"/>
    <mergeCell ref="N19:N21"/>
    <mergeCell ref="O19:O21"/>
    <mergeCell ref="P19:P21"/>
    <mergeCell ref="Q10:Q12"/>
    <mergeCell ref="L16:L18"/>
    <mergeCell ref="M16:M18"/>
    <mergeCell ref="N16:N18"/>
    <mergeCell ref="O16:O18"/>
    <mergeCell ref="P16:P18"/>
    <mergeCell ref="Q16:Q18"/>
    <mergeCell ref="M13:M15"/>
    <mergeCell ref="N13:N15"/>
    <mergeCell ref="O13:O15"/>
    <mergeCell ref="P13:P15"/>
    <mergeCell ref="Q13:Q15"/>
    <mergeCell ref="G40:G42"/>
    <mergeCell ref="G43:G45"/>
    <mergeCell ref="G46:G48"/>
    <mergeCell ref="G25:G27"/>
    <mergeCell ref="G28:G30"/>
    <mergeCell ref="G31:G33"/>
    <mergeCell ref="G34:G36"/>
    <mergeCell ref="G37:G39"/>
    <mergeCell ref="L5:R5"/>
    <mergeCell ref="L13:L15"/>
    <mergeCell ref="L7:L9"/>
    <mergeCell ref="M7:M9"/>
    <mergeCell ref="N7:N9"/>
    <mergeCell ref="O7:O9"/>
    <mergeCell ref="P7:P9"/>
    <mergeCell ref="Q7:Q9"/>
    <mergeCell ref="L10:L12"/>
    <mergeCell ref="M10:M12"/>
    <mergeCell ref="N10:N12"/>
    <mergeCell ref="O10:O12"/>
    <mergeCell ref="P10:P12"/>
    <mergeCell ref="C7:C24"/>
    <mergeCell ref="D7:D9"/>
    <mergeCell ref="D10:D12"/>
    <mergeCell ref="D13:D15"/>
    <mergeCell ref="D16:D18"/>
    <mergeCell ref="D19:D21"/>
    <mergeCell ref="D22:D24"/>
    <mergeCell ref="G7:G9"/>
    <mergeCell ref="G10:G12"/>
    <mergeCell ref="G13:G15"/>
    <mergeCell ref="G16:G18"/>
    <mergeCell ref="G19:G21"/>
    <mergeCell ref="G22:G24"/>
    <mergeCell ref="C40:C48"/>
    <mergeCell ref="D40:D42"/>
    <mergeCell ref="D43:D45"/>
    <mergeCell ref="D46:D48"/>
    <mergeCell ref="C25:C39"/>
    <mergeCell ref="D25:D27"/>
    <mergeCell ref="D28:D30"/>
    <mergeCell ref="D31:D33"/>
    <mergeCell ref="D34:D36"/>
    <mergeCell ref="D37:D3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0B89-E009-4856-96FA-A7F028998EC2}">
  <dimension ref="B1:AA28"/>
  <sheetViews>
    <sheetView zoomScaleNormal="100" workbookViewId="0">
      <selection activeCell="P12" sqref="P12"/>
    </sheetView>
  </sheetViews>
  <sheetFormatPr defaultRowHeight="14.3" x14ac:dyDescent="0.25"/>
  <cols>
    <col min="4" max="4" width="11" bestFit="1" customWidth="1"/>
    <col min="5" max="5" width="14.125" bestFit="1" customWidth="1"/>
    <col min="10" max="10" width="9" customWidth="1"/>
    <col min="13" max="13" width="10.625" bestFit="1" customWidth="1"/>
    <col min="15" max="15" width="11.25" bestFit="1" customWidth="1"/>
    <col min="20" max="21" width="10.25" bestFit="1" customWidth="1"/>
    <col min="24" max="24" width="11" bestFit="1" customWidth="1"/>
  </cols>
  <sheetData>
    <row r="1" spans="2:27" ht="15.8" thickBot="1" x14ac:dyDescent="0.3"/>
    <row r="2" spans="2:27" x14ac:dyDescent="0.25">
      <c r="B2" s="57" t="s">
        <v>133</v>
      </c>
      <c r="C2" s="58"/>
      <c r="D2" s="58"/>
      <c r="E2" s="58"/>
      <c r="F2" s="58" t="s">
        <v>131</v>
      </c>
      <c r="G2" s="58"/>
      <c r="H2" s="58"/>
      <c r="I2" s="58"/>
      <c r="J2" s="59"/>
      <c r="L2" s="57" t="s">
        <v>132</v>
      </c>
      <c r="M2" s="58"/>
      <c r="N2" s="58"/>
      <c r="O2" s="58"/>
      <c r="P2" s="59"/>
      <c r="R2" s="57" t="s">
        <v>134</v>
      </c>
      <c r="S2" s="58"/>
      <c r="T2" s="58"/>
      <c r="U2" s="59"/>
      <c r="W2" s="57" t="s">
        <v>135</v>
      </c>
      <c r="X2" s="58"/>
      <c r="Y2" s="58"/>
      <c r="Z2" s="58"/>
      <c r="AA2" s="59"/>
    </row>
    <row r="3" spans="2:27" x14ac:dyDescent="0.25">
      <c r="B3" s="60"/>
      <c r="F3" t="s">
        <v>147</v>
      </c>
      <c r="J3" s="61"/>
      <c r="L3" s="60"/>
      <c r="P3" s="61"/>
      <c r="R3" s="60"/>
      <c r="U3" s="61"/>
      <c r="W3" s="60"/>
      <c r="AA3" s="61"/>
    </row>
    <row r="4" spans="2:27" ht="14.95" x14ac:dyDescent="0.25">
      <c r="B4" s="60"/>
      <c r="J4" s="61"/>
      <c r="L4" s="60"/>
      <c r="P4" s="61"/>
      <c r="R4" s="60"/>
      <c r="U4" s="61"/>
      <c r="W4" s="60"/>
      <c r="AA4" s="61"/>
    </row>
    <row r="5" spans="2:27" ht="14.95" x14ac:dyDescent="0.25">
      <c r="B5" s="60"/>
      <c r="J5" s="61"/>
      <c r="L5" s="60"/>
      <c r="P5" s="61"/>
      <c r="R5" s="60"/>
      <c r="U5" s="61"/>
      <c r="W5" s="60"/>
      <c r="AA5" s="61"/>
    </row>
    <row r="6" spans="2:27" ht="15.8" thickBot="1" x14ac:dyDescent="0.3">
      <c r="B6" s="60"/>
      <c r="J6" s="61"/>
      <c r="L6" s="60"/>
      <c r="P6" s="61"/>
      <c r="R6" s="60"/>
      <c r="U6" s="61"/>
      <c r="W6" s="60"/>
      <c r="AA6" s="61"/>
    </row>
    <row r="7" spans="2:27" ht="18.350000000000001" thickBot="1" x14ac:dyDescent="0.4">
      <c r="B7" s="60"/>
      <c r="J7" s="61"/>
      <c r="L7" s="60"/>
      <c r="M7" s="75" t="s">
        <v>152</v>
      </c>
      <c r="N7" s="66" t="s">
        <v>156</v>
      </c>
      <c r="O7" s="67" t="s">
        <v>157</v>
      </c>
      <c r="P7" s="61"/>
      <c r="R7" s="60"/>
      <c r="S7" s="71" t="s">
        <v>153</v>
      </c>
      <c r="T7" s="67" t="s">
        <v>154</v>
      </c>
      <c r="U7" s="61"/>
      <c r="W7" s="60"/>
      <c r="AA7" s="61"/>
    </row>
    <row r="8" spans="2:27" ht="18.7" thickBot="1" x14ac:dyDescent="0.4">
      <c r="B8" s="60"/>
      <c r="J8" s="61"/>
      <c r="L8" s="60"/>
      <c r="M8" s="68">
        <v>5.4000000000000003E-3</v>
      </c>
      <c r="N8" s="69">
        <v>10.210000000000001</v>
      </c>
      <c r="O8" s="70">
        <v>12</v>
      </c>
      <c r="P8" s="61"/>
      <c r="R8" s="60"/>
      <c r="S8" s="68">
        <v>132</v>
      </c>
      <c r="T8" s="70">
        <v>1000</v>
      </c>
      <c r="U8" s="61"/>
      <c r="W8" s="60"/>
      <c r="X8" s="73" t="s">
        <v>159</v>
      </c>
      <c r="Z8" s="73" t="s">
        <v>160</v>
      </c>
      <c r="AA8" s="61"/>
    </row>
    <row r="9" spans="2:27" ht="14.95" thickBot="1" x14ac:dyDescent="0.3">
      <c r="B9" s="60"/>
      <c r="C9" s="65" t="s">
        <v>103</v>
      </c>
      <c r="D9" s="66" t="s">
        <v>139</v>
      </c>
      <c r="E9" s="66" t="s">
        <v>140</v>
      </c>
      <c r="F9" s="66" t="s">
        <v>141</v>
      </c>
      <c r="G9" s="66" t="s">
        <v>142</v>
      </c>
      <c r="H9" s="66" t="s">
        <v>143</v>
      </c>
      <c r="I9" s="67" t="s">
        <v>144</v>
      </c>
      <c r="J9" s="61"/>
      <c r="L9" s="60"/>
      <c r="P9" s="61"/>
      <c r="R9" s="60"/>
      <c r="U9" s="61"/>
      <c r="W9" s="60"/>
      <c r="X9" s="74">
        <v>1.54</v>
      </c>
      <c r="Z9" s="74">
        <f>1/(1-0.009*X9)</f>
        <v>1.014054799521366</v>
      </c>
      <c r="AA9" s="61"/>
    </row>
    <row r="10" spans="2:27" ht="17.7" thickBot="1" x14ac:dyDescent="0.4">
      <c r="B10" s="60"/>
      <c r="C10" s="68">
        <f>(995.6+994.9)/2</f>
        <v>995.25</v>
      </c>
      <c r="D10" s="69">
        <v>8.9999999999999998E-4</v>
      </c>
      <c r="E10" s="69">
        <v>1.7699</v>
      </c>
      <c r="F10" s="69">
        <v>6.4000000000000003E-3</v>
      </c>
      <c r="G10" s="69">
        <v>1.8855</v>
      </c>
      <c r="H10" s="69">
        <v>1.2999999999999999E-5</v>
      </c>
      <c r="I10" s="70">
        <v>1.2237</v>
      </c>
      <c r="J10" s="61"/>
      <c r="L10" s="60"/>
      <c r="M10" s="73" t="s">
        <v>158</v>
      </c>
      <c r="P10" s="61"/>
      <c r="R10" s="60"/>
      <c r="S10" s="73" t="s">
        <v>155</v>
      </c>
      <c r="U10" s="61"/>
      <c r="W10" s="60"/>
      <c r="AA10" s="61"/>
    </row>
    <row r="11" spans="2:27" ht="14.95" thickBot="1" x14ac:dyDescent="0.3">
      <c r="B11" s="60"/>
      <c r="J11" s="61"/>
      <c r="L11" s="60"/>
      <c r="M11" s="74">
        <f>1+M8*(N8-O8)</f>
        <v>0.99033400000000005</v>
      </c>
      <c r="P11" s="61"/>
      <c r="R11" s="60"/>
      <c r="S11" s="74">
        <f>EXP((C16-T8)/S8)</f>
        <v>1.1163287597993694</v>
      </c>
      <c r="U11" s="61"/>
      <c r="W11" s="60"/>
      <c r="AA11" s="61"/>
    </row>
    <row r="12" spans="2:27" x14ac:dyDescent="0.25">
      <c r="B12" s="60"/>
      <c r="J12" s="61"/>
      <c r="L12" s="60"/>
      <c r="P12" s="61"/>
      <c r="R12" s="60"/>
      <c r="U12" s="61"/>
      <c r="W12" s="60"/>
      <c r="AA12" s="61"/>
    </row>
    <row r="13" spans="2:27" ht="14.95" x14ac:dyDescent="0.25">
      <c r="B13" s="60"/>
      <c r="J13" s="61"/>
      <c r="L13" s="60"/>
      <c r="P13" s="61"/>
      <c r="R13" s="60"/>
      <c r="U13" s="61"/>
      <c r="W13" s="60"/>
      <c r="AA13" s="61"/>
    </row>
    <row r="14" spans="2:27" ht="15.8" thickBot="1" x14ac:dyDescent="0.3">
      <c r="B14" s="60"/>
      <c r="J14" s="61"/>
      <c r="L14" s="60"/>
      <c r="P14" s="61"/>
      <c r="R14" s="60"/>
      <c r="U14" s="61"/>
      <c r="W14" s="60"/>
      <c r="AA14" s="61"/>
    </row>
    <row r="15" spans="2:27" ht="16.3" x14ac:dyDescent="0.25">
      <c r="B15" s="60"/>
      <c r="C15" s="65" t="s">
        <v>137</v>
      </c>
      <c r="D15" s="66" t="s">
        <v>136</v>
      </c>
      <c r="E15" s="66" t="s">
        <v>138</v>
      </c>
      <c r="F15" s="66" t="s">
        <v>145</v>
      </c>
      <c r="G15" s="67" t="s">
        <v>146</v>
      </c>
      <c r="J15" s="61"/>
      <c r="L15" s="60"/>
      <c r="P15" s="61"/>
      <c r="R15" s="60"/>
      <c r="U15" s="61"/>
      <c r="W15" s="60"/>
      <c r="AA15" s="61"/>
    </row>
    <row r="16" spans="2:27" ht="15.8" thickBot="1" x14ac:dyDescent="0.3">
      <c r="B16" s="60"/>
      <c r="C16" s="68">
        <f>(C10*100/9.81)/10</f>
        <v>1014.525993883792</v>
      </c>
      <c r="D16" s="69">
        <v>6.9</v>
      </c>
      <c r="E16" s="69">
        <v>1.36</v>
      </c>
      <c r="F16" s="69">
        <v>1</v>
      </c>
      <c r="G16" s="70">
        <f>F16*E16*(-D10*C16+E10)*(1-EXP(-(F10*C16+G10)*D16^(H10*C16-I10)))</f>
        <v>0.64616665257037875</v>
      </c>
      <c r="J16" s="61"/>
      <c r="L16" s="60"/>
      <c r="P16" s="61"/>
      <c r="R16" s="60"/>
      <c r="U16" s="61"/>
      <c r="W16" s="60"/>
      <c r="AA16" s="61"/>
    </row>
    <row r="17" spans="2:27" ht="14.95" x14ac:dyDescent="0.25">
      <c r="B17" s="60"/>
      <c r="J17" s="61"/>
      <c r="L17" s="60"/>
      <c r="P17" s="61"/>
      <c r="R17" s="60"/>
      <c r="U17" s="61"/>
      <c r="W17" s="60"/>
      <c r="AA17" s="61"/>
    </row>
    <row r="18" spans="2:27" ht="15.8" thickBot="1" x14ac:dyDescent="0.3">
      <c r="B18" s="60"/>
      <c r="J18" s="61"/>
      <c r="L18" s="60"/>
      <c r="P18" s="61"/>
      <c r="R18" s="60"/>
      <c r="U18" s="61"/>
      <c r="W18" s="60"/>
      <c r="AA18" s="61"/>
    </row>
    <row r="19" spans="2:27" ht="18" x14ac:dyDescent="0.35">
      <c r="B19" s="60"/>
      <c r="C19" s="65" t="s">
        <v>148</v>
      </c>
      <c r="D19" s="66" t="s">
        <v>151</v>
      </c>
      <c r="E19" s="67" t="s">
        <v>150</v>
      </c>
      <c r="J19" s="61"/>
      <c r="L19" s="60"/>
      <c r="P19" s="61"/>
      <c r="R19" s="60"/>
      <c r="U19" s="61"/>
      <c r="W19" s="60"/>
      <c r="AA19" s="61"/>
    </row>
    <row r="20" spans="2:27" ht="15.8" thickBot="1" x14ac:dyDescent="0.3">
      <c r="B20" s="60"/>
      <c r="C20" s="68">
        <v>140.52000000000001</v>
      </c>
      <c r="D20" s="69">
        <v>156.16999999999999</v>
      </c>
      <c r="E20" s="70">
        <f>(C20*G16/D20+1-G16)^-1</f>
        <v>1.0692364902481772</v>
      </c>
      <c r="J20" s="61"/>
      <c r="L20" s="60"/>
      <c r="P20" s="61"/>
      <c r="R20" s="60"/>
      <c r="U20" s="61"/>
      <c r="W20" s="60"/>
      <c r="AA20" s="61"/>
    </row>
    <row r="21" spans="2:27" ht="14.95" x14ac:dyDescent="0.25">
      <c r="B21" s="60"/>
      <c r="J21" s="61"/>
      <c r="L21" s="60"/>
      <c r="P21" s="61"/>
      <c r="R21" s="60"/>
      <c r="U21" s="61"/>
      <c r="W21" s="60"/>
      <c r="AA21" s="61"/>
    </row>
    <row r="22" spans="2:27" ht="14.95" x14ac:dyDescent="0.25">
      <c r="B22" s="60"/>
      <c r="J22" s="61"/>
      <c r="L22" s="60"/>
      <c r="P22" s="61"/>
      <c r="R22" s="60"/>
      <c r="U22" s="61"/>
      <c r="W22" s="60"/>
      <c r="AA22" s="61"/>
    </row>
    <row r="23" spans="2:27" ht="14.95" x14ac:dyDescent="0.25">
      <c r="B23" s="60"/>
      <c r="J23" s="61"/>
      <c r="L23" s="60"/>
      <c r="P23" s="61"/>
      <c r="R23" s="60"/>
      <c r="U23" s="61"/>
      <c r="W23" s="60"/>
      <c r="AA23" s="61"/>
    </row>
    <row r="24" spans="2:27" ht="14.95" x14ac:dyDescent="0.25">
      <c r="B24" s="60"/>
      <c r="J24" s="61"/>
      <c r="L24" s="60"/>
      <c r="P24" s="61"/>
      <c r="R24" s="60"/>
      <c r="U24" s="61"/>
      <c r="W24" s="60"/>
      <c r="AA24" s="61"/>
    </row>
    <row r="25" spans="2:27" ht="14.95" x14ac:dyDescent="0.25">
      <c r="B25" s="60"/>
      <c r="J25" s="61"/>
      <c r="L25" s="60"/>
      <c r="P25" s="61"/>
      <c r="R25" s="60"/>
      <c r="U25" s="61"/>
      <c r="W25" s="60"/>
      <c r="AA25" s="61"/>
    </row>
    <row r="26" spans="2:27" ht="14.95" x14ac:dyDescent="0.25">
      <c r="B26" s="60"/>
      <c r="J26" s="61"/>
      <c r="L26" s="60"/>
      <c r="P26" s="61"/>
      <c r="R26" s="60"/>
      <c r="U26" s="61"/>
      <c r="W26" s="60"/>
      <c r="AA26" s="61"/>
    </row>
    <row r="27" spans="2:27" ht="15.8" thickBot="1" x14ac:dyDescent="0.3">
      <c r="B27" s="62"/>
      <c r="C27" s="63"/>
      <c r="D27" s="63"/>
      <c r="E27" s="63"/>
      <c r="F27" s="63"/>
      <c r="G27" s="63"/>
      <c r="H27" s="63"/>
      <c r="I27" s="63"/>
      <c r="J27" s="64"/>
      <c r="L27" s="62"/>
      <c r="M27" s="63"/>
      <c r="N27" s="63"/>
      <c r="O27" s="63"/>
      <c r="P27" s="64"/>
      <c r="R27" s="62"/>
      <c r="S27" s="63"/>
      <c r="T27" s="63"/>
      <c r="U27" s="64"/>
      <c r="W27" s="62"/>
      <c r="X27" s="63"/>
      <c r="Y27" s="63"/>
      <c r="Z27" s="63"/>
      <c r="AA27" s="64"/>
    </row>
    <row r="28" spans="2:27" ht="14.95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0613-3AEC-4E07-BD18-C4EDDD467058}">
  <dimension ref="B2:N5"/>
  <sheetViews>
    <sheetView workbookViewId="0">
      <selection activeCell="B5" sqref="B5"/>
    </sheetView>
  </sheetViews>
  <sheetFormatPr defaultRowHeight="14.3" x14ac:dyDescent="0.25"/>
  <cols>
    <col min="3" max="4" width="15.375" bestFit="1" customWidth="1"/>
  </cols>
  <sheetData>
    <row r="2" spans="2:14" x14ac:dyDescent="0.25">
      <c r="B2" t="s">
        <v>131</v>
      </c>
    </row>
    <row r="3" spans="2:14" ht="15.8" thickBot="1" x14ac:dyDescent="0.3"/>
    <row r="4" spans="2:14" ht="17" x14ac:dyDescent="0.25">
      <c r="B4" s="78"/>
      <c r="C4" s="79" t="s">
        <v>129</v>
      </c>
      <c r="D4" s="79" t="s">
        <v>130</v>
      </c>
      <c r="E4" s="80" t="s">
        <v>68</v>
      </c>
      <c r="F4" s="78" t="s">
        <v>149</v>
      </c>
      <c r="G4" s="79" t="s">
        <v>161</v>
      </c>
      <c r="H4" s="79" t="s">
        <v>162</v>
      </c>
      <c r="I4" s="79" t="s">
        <v>163</v>
      </c>
      <c r="J4" s="81" t="s">
        <v>167</v>
      </c>
      <c r="K4" s="78" t="s">
        <v>164</v>
      </c>
      <c r="L4" s="79" t="s">
        <v>165</v>
      </c>
      <c r="M4" s="81" t="s">
        <v>166</v>
      </c>
      <c r="N4" s="82" t="s">
        <v>168</v>
      </c>
    </row>
    <row r="5" spans="2:14" ht="14.95" thickBot="1" x14ac:dyDescent="0.3">
      <c r="B5" s="54">
        <v>0.44866904083502118</v>
      </c>
      <c r="C5" s="76">
        <v>1138</v>
      </c>
      <c r="D5" s="76">
        <v>668</v>
      </c>
      <c r="E5" s="4">
        <f>C5-D5</f>
        <v>470</v>
      </c>
      <c r="F5" s="54">
        <v>1.0692364902481772</v>
      </c>
      <c r="G5" s="76">
        <v>0.99033400000000005</v>
      </c>
      <c r="H5" s="76">
        <v>1.1163287597993694</v>
      </c>
      <c r="I5" s="76">
        <v>1.014054799521366</v>
      </c>
      <c r="J5" s="77">
        <f>E5*I5*H5*G5*F5</f>
        <v>563.38704664786189</v>
      </c>
      <c r="K5" s="54">
        <v>8.0799999999999997E-2</v>
      </c>
      <c r="L5" s="76">
        <v>0.372</v>
      </c>
      <c r="M5" s="77">
        <v>0.115</v>
      </c>
      <c r="N5" s="72">
        <f>J5/((K5/(B5+M5))+L5)</f>
        <v>1093.2198354517386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9A55-0469-4C3F-A288-7F17CAD62CEE}">
  <dimension ref="B6:Q8"/>
  <sheetViews>
    <sheetView tabSelected="1" workbookViewId="0">
      <selection activeCell="S24" sqref="S24"/>
    </sheetView>
  </sheetViews>
  <sheetFormatPr defaultRowHeight="14.3" x14ac:dyDescent="0.25"/>
  <cols>
    <col min="4" max="4" width="11.875" bestFit="1" customWidth="1"/>
    <col min="5" max="5" width="11.375" bestFit="1" customWidth="1"/>
    <col min="6" max="7" width="11.375" customWidth="1"/>
    <col min="17" max="17" width="8.125" bestFit="1" customWidth="1"/>
  </cols>
  <sheetData>
    <row r="6" spans="2:17" ht="14.95" thickBot="1" x14ac:dyDescent="0.3"/>
    <row r="7" spans="2:17" ht="17" x14ac:dyDescent="0.25">
      <c r="B7" s="83" t="s">
        <v>156</v>
      </c>
      <c r="C7" s="84" t="s">
        <v>169</v>
      </c>
      <c r="D7" s="85" t="s">
        <v>111</v>
      </c>
      <c r="E7" s="86" t="s">
        <v>171</v>
      </c>
      <c r="F7" s="86" t="s">
        <v>172</v>
      </c>
      <c r="G7" s="86" t="s">
        <v>173</v>
      </c>
      <c r="H7" s="84" t="s">
        <v>94</v>
      </c>
      <c r="I7" s="84" t="s">
        <v>95</v>
      </c>
      <c r="J7" s="84" t="s">
        <v>96</v>
      </c>
      <c r="K7" s="84" t="s">
        <v>97</v>
      </c>
      <c r="L7" s="84" t="s">
        <v>98</v>
      </c>
      <c r="M7" s="84" t="s">
        <v>99</v>
      </c>
      <c r="N7" s="84" t="s">
        <v>100</v>
      </c>
      <c r="O7" s="84" t="s">
        <v>170</v>
      </c>
      <c r="P7" s="66" t="s">
        <v>169</v>
      </c>
      <c r="Q7" s="89" t="s">
        <v>174</v>
      </c>
    </row>
    <row r="8" spans="2:17" ht="14.95" thickBot="1" x14ac:dyDescent="0.3">
      <c r="B8" s="11">
        <v>10.210000000000001</v>
      </c>
      <c r="C8" s="35">
        <v>563.38704664786189</v>
      </c>
      <c r="D8" s="35">
        <f>18/9.81</f>
        <v>1.8348623853211008</v>
      </c>
      <c r="E8" s="35">
        <v>1.43</v>
      </c>
      <c r="F8" s="35">
        <v>0.44866904083502118</v>
      </c>
      <c r="G8" s="35">
        <f>F8*E8/D8</f>
        <v>0.34967021697477374</v>
      </c>
      <c r="H8" s="87">
        <v>1.024</v>
      </c>
      <c r="I8" s="87">
        <v>2.2599999999999999E-2</v>
      </c>
      <c r="J8" s="87">
        <v>0.20699999999999999</v>
      </c>
      <c r="K8" s="87">
        <v>1.625</v>
      </c>
      <c r="L8" s="87">
        <v>0.23499999999999999</v>
      </c>
      <c r="M8" s="88">
        <v>-2.8999999999999998E-3</v>
      </c>
      <c r="N8" s="88">
        <v>9.2999999999999992E-3</v>
      </c>
      <c r="O8" s="87">
        <v>7.3999999999999996E-5</v>
      </c>
      <c r="P8" s="90">
        <v>563.38704664786189</v>
      </c>
      <c r="Q8" s="70">
        <f>C8/((I8+J8*G8)/(I8+G8)*(H8+N8*B8+O8*B8^2)+EXP(-K8*G8)*(L8+M8*B8))</f>
        <v>1395.1389881054165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Constantes e Funções Auxiliares</vt:lpstr>
      <vt:lpstr>Medições Diretas</vt:lpstr>
      <vt:lpstr>Ponderação Vertical</vt:lpstr>
      <vt:lpstr>Ponderação Horizontal </vt:lpstr>
      <vt:lpstr>Fatores de Correção</vt:lpstr>
      <vt:lpstr>Método N0</vt:lpstr>
      <vt:lpstr>Método 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Riscado</dc:creator>
  <cp:lastModifiedBy>Duarte Riscado</cp:lastModifiedBy>
  <dcterms:created xsi:type="dcterms:W3CDTF">2026-02-02T21:40:11Z</dcterms:created>
  <dcterms:modified xsi:type="dcterms:W3CDTF">2026-03-08T22:58:28Z</dcterms:modified>
</cp:coreProperties>
</file>