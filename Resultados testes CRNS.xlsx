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52E999-4C36-4F84-8141-B70AF750A82C}" xr6:coauthVersionLast="47" xr6:coauthVersionMax="47" xr10:uidLastSave="{00000000-0000-0000-0000-000000000000}"/>
  <bookViews>
    <workbookView xWindow="-109" yWindow="-109" windowWidth="34995" windowHeight="19060" activeTab="3" xr2:uid="{00000000-000D-0000-FFFF-FFFF00000000}"/>
  </bookViews>
  <sheets>
    <sheet name="Dados Completos" sheetId="1" r:id="rId1"/>
    <sheet name="Habs, Psat" sheetId="5" r:id="rId2"/>
    <sheet name="Diferentes médias móveis" sheetId="6" r:id="rId3"/>
    <sheet name="Média móvel CAS 24h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VVPGvfWSC1JqhqYM870O9rVOoHjg9Od4HvzQ26m0Bk="/>
    </ext>
  </extLst>
</workbook>
</file>

<file path=xl/calcChain.xml><?xml version="1.0" encoding="utf-8"?>
<calcChain xmlns="http://schemas.openxmlformats.org/spreadsheetml/2006/main">
  <c r="E147" i="5" l="1"/>
  <c r="F147" i="5" s="1"/>
  <c r="E148" i="5"/>
  <c r="F148" i="5" s="1"/>
  <c r="E149" i="5"/>
  <c r="F149" i="5" s="1"/>
  <c r="E150" i="5"/>
  <c r="F150" i="5" s="1"/>
  <c r="E151" i="5"/>
  <c r="F151" i="5" s="1"/>
  <c r="E152" i="5"/>
  <c r="F152" i="5" s="1"/>
  <c r="E153" i="5"/>
  <c r="F153" i="5" s="1"/>
  <c r="E154" i="5"/>
  <c r="F154" i="5" s="1"/>
  <c r="E137" i="5" l="1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E123" i="5"/>
  <c r="F123" i="5" s="1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F132" i="5" s="1"/>
  <c r="E133" i="5"/>
  <c r="F133" i="5" s="1"/>
  <c r="E134" i="5"/>
  <c r="F134" i="5" s="1"/>
  <c r="E135" i="5"/>
  <c r="F135" i="5" s="1"/>
  <c r="E136" i="5"/>
  <c r="F136" i="5" s="1"/>
  <c r="W123" i="6"/>
  <c r="X123" i="6"/>
  <c r="W124" i="6"/>
  <c r="X124" i="6"/>
  <c r="W125" i="6"/>
  <c r="X125" i="6"/>
  <c r="W126" i="6"/>
  <c r="X126" i="6" s="1"/>
  <c r="W127" i="6"/>
  <c r="X127" i="6"/>
  <c r="W128" i="6"/>
  <c r="X128" i="6"/>
  <c r="W129" i="6"/>
  <c r="X129" i="6"/>
  <c r="W130" i="6"/>
  <c r="X130" i="6"/>
  <c r="W131" i="6"/>
  <c r="X131" i="6"/>
  <c r="W132" i="6"/>
  <c r="X132" i="6"/>
  <c r="W133" i="6"/>
  <c r="X133" i="6"/>
  <c r="W134" i="6"/>
  <c r="X134" i="6" s="1"/>
  <c r="W135" i="6"/>
  <c r="X135" i="6"/>
  <c r="W136" i="6"/>
  <c r="X136" i="6"/>
  <c r="S123" i="6"/>
  <c r="T123" i="6" s="1"/>
  <c r="S124" i="6"/>
  <c r="T124" i="6" s="1"/>
  <c r="S125" i="6"/>
  <c r="T125" i="6"/>
  <c r="S126" i="6"/>
  <c r="T126" i="6" s="1"/>
  <c r="S127" i="6"/>
  <c r="T127" i="6"/>
  <c r="S128" i="6"/>
  <c r="T128" i="6"/>
  <c r="S129" i="6"/>
  <c r="T129" i="6"/>
  <c r="S130" i="6"/>
  <c r="T130" i="6"/>
  <c r="S131" i="6"/>
  <c r="T131" i="6" s="1"/>
  <c r="S132" i="6"/>
  <c r="T132" i="6"/>
  <c r="S133" i="6"/>
  <c r="T133" i="6"/>
  <c r="S134" i="6"/>
  <c r="T134" i="6" s="1"/>
  <c r="S135" i="6"/>
  <c r="T135" i="6"/>
  <c r="S136" i="6"/>
  <c r="T136" i="6"/>
  <c r="O123" i="6"/>
  <c r="P123" i="6"/>
  <c r="O124" i="6"/>
  <c r="P124" i="6" s="1"/>
  <c r="O125" i="6"/>
  <c r="P125" i="6"/>
  <c r="O126" i="6"/>
  <c r="P126" i="6" s="1"/>
  <c r="O127" i="6"/>
  <c r="P127" i="6"/>
  <c r="O128" i="6"/>
  <c r="P128" i="6"/>
  <c r="O129" i="6"/>
  <c r="P129" i="6"/>
  <c r="O130" i="6"/>
  <c r="P130" i="6"/>
  <c r="O131" i="6"/>
  <c r="P131" i="6"/>
  <c r="O132" i="6"/>
  <c r="P132" i="6" s="1"/>
  <c r="O133" i="6"/>
  <c r="P133" i="6"/>
  <c r="O134" i="6"/>
  <c r="P134" i="6" s="1"/>
  <c r="O135" i="6"/>
  <c r="P135" i="6"/>
  <c r="O136" i="6"/>
  <c r="P136" i="6"/>
  <c r="K123" i="6"/>
  <c r="L123" i="6" s="1"/>
  <c r="K124" i="6"/>
  <c r="L124" i="6" s="1"/>
  <c r="K125" i="6"/>
  <c r="L125" i="6"/>
  <c r="K126" i="6"/>
  <c r="L126" i="6" s="1"/>
  <c r="K127" i="6"/>
  <c r="L127" i="6"/>
  <c r="K128" i="6"/>
  <c r="L128" i="6"/>
  <c r="K129" i="6"/>
  <c r="L129" i="6"/>
  <c r="K130" i="6"/>
  <c r="L130" i="6"/>
  <c r="K131" i="6"/>
  <c r="L131" i="6" s="1"/>
  <c r="K132" i="6"/>
  <c r="L132" i="6"/>
  <c r="K133" i="6"/>
  <c r="L133" i="6"/>
  <c r="K134" i="6"/>
  <c r="L134" i="6" s="1"/>
  <c r="K135" i="6"/>
  <c r="L135" i="6"/>
  <c r="K136" i="6"/>
  <c r="L136" i="6"/>
  <c r="G123" i="6"/>
  <c r="H123" i="6" s="1"/>
  <c r="G124" i="6"/>
  <c r="H124" i="6"/>
  <c r="G125" i="6"/>
  <c r="H125" i="6"/>
  <c r="G126" i="6"/>
  <c r="H126" i="6"/>
  <c r="G127" i="6"/>
  <c r="H127" i="6"/>
  <c r="G128" i="6"/>
  <c r="H128" i="6"/>
  <c r="G129" i="6"/>
  <c r="H129" i="6"/>
  <c r="G130" i="6"/>
  <c r="H130" i="6"/>
  <c r="G131" i="6"/>
  <c r="H131" i="6"/>
  <c r="G132" i="6"/>
  <c r="H132" i="6"/>
  <c r="G133" i="6"/>
  <c r="H133" i="6"/>
  <c r="G134" i="6"/>
  <c r="H134" i="6"/>
  <c r="G135" i="6"/>
  <c r="H135" i="6"/>
  <c r="G136" i="6"/>
  <c r="H136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W26" i="6"/>
  <c r="X26" i="6" s="1"/>
  <c r="W27" i="6"/>
  <c r="X27" i="6" s="1"/>
  <c r="W28" i="6"/>
  <c r="X28" i="6" s="1"/>
  <c r="W29" i="6"/>
  <c r="X29" i="6" s="1"/>
  <c r="W30" i="6"/>
  <c r="X30" i="6" s="1"/>
  <c r="W31" i="6"/>
  <c r="X31" i="6" s="1"/>
  <c r="W32" i="6"/>
  <c r="X32" i="6" s="1"/>
  <c r="W33" i="6"/>
  <c r="X33" i="6" s="1"/>
  <c r="W34" i="6"/>
  <c r="X34" i="6" s="1"/>
  <c r="W35" i="6"/>
  <c r="X35" i="6" s="1"/>
  <c r="W36" i="6"/>
  <c r="X36" i="6" s="1"/>
  <c r="W37" i="6"/>
  <c r="X37" i="6" s="1"/>
  <c r="W38" i="6"/>
  <c r="X38" i="6" s="1"/>
  <c r="W39" i="6"/>
  <c r="X39" i="6" s="1"/>
  <c r="W40" i="6"/>
  <c r="X40" i="6" s="1"/>
  <c r="W41" i="6"/>
  <c r="X41" i="6" s="1"/>
  <c r="W42" i="6"/>
  <c r="X42" i="6" s="1"/>
  <c r="W43" i="6"/>
  <c r="X43" i="6" s="1"/>
  <c r="W44" i="6"/>
  <c r="X44" i="6" s="1"/>
  <c r="W45" i="6"/>
  <c r="X45" i="6" s="1"/>
  <c r="W46" i="6"/>
  <c r="X46" i="6" s="1"/>
  <c r="W47" i="6"/>
  <c r="X47" i="6" s="1"/>
  <c r="W48" i="6"/>
  <c r="X48" i="6" s="1"/>
  <c r="W49" i="6"/>
  <c r="X49" i="6" s="1"/>
  <c r="W50" i="6"/>
  <c r="X50" i="6" s="1"/>
  <c r="W51" i="6"/>
  <c r="X51" i="6" s="1"/>
  <c r="W52" i="6"/>
  <c r="X52" i="6" s="1"/>
  <c r="W53" i="6"/>
  <c r="X53" i="6" s="1"/>
  <c r="W54" i="6"/>
  <c r="X54" i="6" s="1"/>
  <c r="W55" i="6"/>
  <c r="X55" i="6" s="1"/>
  <c r="W56" i="6"/>
  <c r="X56" i="6" s="1"/>
  <c r="W57" i="6"/>
  <c r="X57" i="6" s="1"/>
  <c r="W58" i="6"/>
  <c r="X58" i="6" s="1"/>
  <c r="W59" i="6"/>
  <c r="X59" i="6" s="1"/>
  <c r="W60" i="6"/>
  <c r="X60" i="6" s="1"/>
  <c r="W61" i="6"/>
  <c r="X61" i="6" s="1"/>
  <c r="W62" i="6"/>
  <c r="X62" i="6" s="1"/>
  <c r="W63" i="6"/>
  <c r="X63" i="6" s="1"/>
  <c r="W64" i="6"/>
  <c r="X64" i="6" s="1"/>
  <c r="W65" i="6"/>
  <c r="X65" i="6" s="1"/>
  <c r="W66" i="6"/>
  <c r="X66" i="6" s="1"/>
  <c r="W67" i="6"/>
  <c r="X67" i="6" s="1"/>
  <c r="W68" i="6"/>
  <c r="X68" i="6" s="1"/>
  <c r="W69" i="6"/>
  <c r="X69" i="6" s="1"/>
  <c r="W70" i="6"/>
  <c r="X70" i="6" s="1"/>
  <c r="W71" i="6"/>
  <c r="X71" i="6" s="1"/>
  <c r="W72" i="6"/>
  <c r="X72" i="6" s="1"/>
  <c r="W73" i="6"/>
  <c r="X73" i="6" s="1"/>
  <c r="W74" i="6"/>
  <c r="X74" i="6" s="1"/>
  <c r="W75" i="6"/>
  <c r="X75" i="6" s="1"/>
  <c r="W76" i="6"/>
  <c r="X76" i="6" s="1"/>
  <c r="W77" i="6"/>
  <c r="X77" i="6" s="1"/>
  <c r="W78" i="6"/>
  <c r="X78" i="6" s="1"/>
  <c r="W79" i="6"/>
  <c r="X79" i="6" s="1"/>
  <c r="W80" i="6"/>
  <c r="X80" i="6" s="1"/>
  <c r="W81" i="6"/>
  <c r="X81" i="6" s="1"/>
  <c r="W82" i="6"/>
  <c r="X82" i="6" s="1"/>
  <c r="W83" i="6"/>
  <c r="X83" i="6" s="1"/>
  <c r="W84" i="6"/>
  <c r="X84" i="6" s="1"/>
  <c r="W85" i="6"/>
  <c r="X85" i="6" s="1"/>
  <c r="W86" i="6"/>
  <c r="X86" i="6" s="1"/>
  <c r="W87" i="6"/>
  <c r="X87" i="6" s="1"/>
  <c r="W88" i="6"/>
  <c r="X88" i="6" s="1"/>
  <c r="W89" i="6"/>
  <c r="X89" i="6" s="1"/>
  <c r="W90" i="6"/>
  <c r="X90" i="6" s="1"/>
  <c r="W91" i="6"/>
  <c r="X91" i="6" s="1"/>
  <c r="W92" i="6"/>
  <c r="X92" i="6" s="1"/>
  <c r="W93" i="6"/>
  <c r="X93" i="6" s="1"/>
  <c r="W94" i="6"/>
  <c r="X94" i="6" s="1"/>
  <c r="W95" i="6"/>
  <c r="X95" i="6" s="1"/>
  <c r="W96" i="6"/>
  <c r="X96" i="6" s="1"/>
  <c r="W97" i="6"/>
  <c r="X97" i="6" s="1"/>
  <c r="W98" i="6"/>
  <c r="X98" i="6" s="1"/>
  <c r="W99" i="6"/>
  <c r="X99" i="6" s="1"/>
  <c r="W100" i="6"/>
  <c r="X100" i="6" s="1"/>
  <c r="W101" i="6"/>
  <c r="X101" i="6" s="1"/>
  <c r="W102" i="6"/>
  <c r="X102" i="6" s="1"/>
  <c r="W103" i="6"/>
  <c r="X103" i="6" s="1"/>
  <c r="W104" i="6"/>
  <c r="X104" i="6" s="1"/>
  <c r="W105" i="6"/>
  <c r="X105" i="6" s="1"/>
  <c r="W106" i="6"/>
  <c r="X106" i="6" s="1"/>
  <c r="W107" i="6"/>
  <c r="X107" i="6" s="1"/>
  <c r="W108" i="6"/>
  <c r="X108" i="6" s="1"/>
  <c r="W109" i="6"/>
  <c r="X109" i="6" s="1"/>
  <c r="W110" i="6"/>
  <c r="X110" i="6" s="1"/>
  <c r="W111" i="6"/>
  <c r="X111" i="6" s="1"/>
  <c r="W112" i="6"/>
  <c r="X112" i="6" s="1"/>
  <c r="W113" i="6"/>
  <c r="X113" i="6" s="1"/>
  <c r="W114" i="6"/>
  <c r="X114" i="6" s="1"/>
  <c r="W115" i="6"/>
  <c r="X115" i="6" s="1"/>
  <c r="W116" i="6"/>
  <c r="X116" i="6" s="1"/>
  <c r="W117" i="6"/>
  <c r="X117" i="6" s="1"/>
  <c r="W118" i="6"/>
  <c r="X118" i="6" s="1"/>
  <c r="W119" i="6"/>
  <c r="X119" i="6" s="1"/>
  <c r="W120" i="6"/>
  <c r="X120" i="6" s="1"/>
  <c r="W121" i="6"/>
  <c r="X121" i="6" s="1"/>
  <c r="W122" i="6"/>
  <c r="X122" i="6" s="1"/>
  <c r="W25" i="6"/>
  <c r="X25" i="6" s="1"/>
  <c r="S14" i="6"/>
  <c r="T14" i="6" s="1"/>
  <c r="S15" i="6"/>
  <c r="T15" i="6" s="1"/>
  <c r="S16" i="6"/>
  <c r="T16" i="6" s="1"/>
  <c r="S17" i="6"/>
  <c r="T17" i="6" s="1"/>
  <c r="S18" i="6"/>
  <c r="T18" i="6" s="1"/>
  <c r="S19" i="6"/>
  <c r="T19" i="6" s="1"/>
  <c r="S20" i="6"/>
  <c r="T20" i="6" s="1"/>
  <c r="S21" i="6"/>
  <c r="T21" i="6" s="1"/>
  <c r="S22" i="6"/>
  <c r="T22" i="6" s="1"/>
  <c r="S23" i="6"/>
  <c r="T23" i="6" s="1"/>
  <c r="S24" i="6"/>
  <c r="T24" i="6" s="1"/>
  <c r="S25" i="6"/>
  <c r="T25" i="6" s="1"/>
  <c r="S26" i="6"/>
  <c r="T26" i="6" s="1"/>
  <c r="S27" i="6"/>
  <c r="T27" i="6" s="1"/>
  <c r="S28" i="6"/>
  <c r="T28" i="6" s="1"/>
  <c r="S29" i="6"/>
  <c r="T29" i="6" s="1"/>
  <c r="S30" i="6"/>
  <c r="T30" i="6" s="1"/>
  <c r="S31" i="6"/>
  <c r="T31" i="6" s="1"/>
  <c r="S32" i="6"/>
  <c r="T32" i="6" s="1"/>
  <c r="S33" i="6"/>
  <c r="T33" i="6" s="1"/>
  <c r="S34" i="6"/>
  <c r="T34" i="6" s="1"/>
  <c r="S35" i="6"/>
  <c r="T35" i="6" s="1"/>
  <c r="S36" i="6"/>
  <c r="T36" i="6" s="1"/>
  <c r="S37" i="6"/>
  <c r="T37" i="6" s="1"/>
  <c r="S38" i="6"/>
  <c r="T38" i="6" s="1"/>
  <c r="S39" i="6"/>
  <c r="T39" i="6" s="1"/>
  <c r="S40" i="6"/>
  <c r="T40" i="6" s="1"/>
  <c r="S41" i="6"/>
  <c r="T41" i="6" s="1"/>
  <c r="S42" i="6"/>
  <c r="T42" i="6" s="1"/>
  <c r="S43" i="6"/>
  <c r="T43" i="6" s="1"/>
  <c r="S44" i="6"/>
  <c r="T44" i="6" s="1"/>
  <c r="S45" i="6"/>
  <c r="T45" i="6" s="1"/>
  <c r="S46" i="6"/>
  <c r="T46" i="6" s="1"/>
  <c r="S47" i="6"/>
  <c r="T47" i="6" s="1"/>
  <c r="S48" i="6"/>
  <c r="T48" i="6" s="1"/>
  <c r="S49" i="6"/>
  <c r="T49" i="6" s="1"/>
  <c r="S50" i="6"/>
  <c r="T50" i="6" s="1"/>
  <c r="S51" i="6"/>
  <c r="T51" i="6" s="1"/>
  <c r="S52" i="6"/>
  <c r="T52" i="6" s="1"/>
  <c r="S53" i="6"/>
  <c r="T53" i="6" s="1"/>
  <c r="S54" i="6"/>
  <c r="T54" i="6" s="1"/>
  <c r="S55" i="6"/>
  <c r="T55" i="6" s="1"/>
  <c r="S56" i="6"/>
  <c r="T56" i="6" s="1"/>
  <c r="S57" i="6"/>
  <c r="T57" i="6" s="1"/>
  <c r="S58" i="6"/>
  <c r="T58" i="6" s="1"/>
  <c r="S59" i="6"/>
  <c r="T59" i="6" s="1"/>
  <c r="S60" i="6"/>
  <c r="T60" i="6" s="1"/>
  <c r="S61" i="6"/>
  <c r="T61" i="6" s="1"/>
  <c r="S62" i="6"/>
  <c r="T62" i="6" s="1"/>
  <c r="S63" i="6"/>
  <c r="T63" i="6" s="1"/>
  <c r="S64" i="6"/>
  <c r="T64" i="6" s="1"/>
  <c r="S65" i="6"/>
  <c r="T65" i="6" s="1"/>
  <c r="S66" i="6"/>
  <c r="T66" i="6" s="1"/>
  <c r="S67" i="6"/>
  <c r="T67" i="6" s="1"/>
  <c r="S68" i="6"/>
  <c r="T68" i="6" s="1"/>
  <c r="S69" i="6"/>
  <c r="T69" i="6" s="1"/>
  <c r="S70" i="6"/>
  <c r="T70" i="6" s="1"/>
  <c r="S71" i="6"/>
  <c r="T71" i="6" s="1"/>
  <c r="S72" i="6"/>
  <c r="T72" i="6" s="1"/>
  <c r="S73" i="6"/>
  <c r="T73" i="6" s="1"/>
  <c r="S74" i="6"/>
  <c r="T74" i="6" s="1"/>
  <c r="S75" i="6"/>
  <c r="T75" i="6" s="1"/>
  <c r="S76" i="6"/>
  <c r="T76" i="6" s="1"/>
  <c r="S77" i="6"/>
  <c r="T77" i="6" s="1"/>
  <c r="S78" i="6"/>
  <c r="T78" i="6" s="1"/>
  <c r="S79" i="6"/>
  <c r="T79" i="6" s="1"/>
  <c r="S80" i="6"/>
  <c r="T80" i="6" s="1"/>
  <c r="S81" i="6"/>
  <c r="T81" i="6" s="1"/>
  <c r="S82" i="6"/>
  <c r="T82" i="6" s="1"/>
  <c r="S83" i="6"/>
  <c r="T83" i="6" s="1"/>
  <c r="S84" i="6"/>
  <c r="T84" i="6" s="1"/>
  <c r="S85" i="6"/>
  <c r="T85" i="6" s="1"/>
  <c r="S86" i="6"/>
  <c r="T86" i="6" s="1"/>
  <c r="S87" i="6"/>
  <c r="T87" i="6" s="1"/>
  <c r="S88" i="6"/>
  <c r="T88" i="6" s="1"/>
  <c r="S89" i="6"/>
  <c r="T89" i="6" s="1"/>
  <c r="S90" i="6"/>
  <c r="T90" i="6" s="1"/>
  <c r="S91" i="6"/>
  <c r="T91" i="6" s="1"/>
  <c r="S92" i="6"/>
  <c r="T92" i="6" s="1"/>
  <c r="S93" i="6"/>
  <c r="T93" i="6" s="1"/>
  <c r="S94" i="6"/>
  <c r="T94" i="6" s="1"/>
  <c r="S95" i="6"/>
  <c r="T95" i="6" s="1"/>
  <c r="S96" i="6"/>
  <c r="T96" i="6" s="1"/>
  <c r="S97" i="6"/>
  <c r="T97" i="6" s="1"/>
  <c r="S98" i="6"/>
  <c r="T98" i="6" s="1"/>
  <c r="S99" i="6"/>
  <c r="T99" i="6" s="1"/>
  <c r="S100" i="6"/>
  <c r="T100" i="6" s="1"/>
  <c r="S101" i="6"/>
  <c r="T101" i="6" s="1"/>
  <c r="S102" i="6"/>
  <c r="T102" i="6" s="1"/>
  <c r="S103" i="6"/>
  <c r="T103" i="6" s="1"/>
  <c r="S104" i="6"/>
  <c r="T104" i="6" s="1"/>
  <c r="S105" i="6"/>
  <c r="T105" i="6" s="1"/>
  <c r="S106" i="6"/>
  <c r="T106" i="6" s="1"/>
  <c r="S107" i="6"/>
  <c r="T107" i="6" s="1"/>
  <c r="S108" i="6"/>
  <c r="T108" i="6" s="1"/>
  <c r="S109" i="6"/>
  <c r="T109" i="6" s="1"/>
  <c r="S110" i="6"/>
  <c r="T110" i="6" s="1"/>
  <c r="S111" i="6"/>
  <c r="T111" i="6" s="1"/>
  <c r="S112" i="6"/>
  <c r="T112" i="6" s="1"/>
  <c r="S113" i="6"/>
  <c r="T113" i="6" s="1"/>
  <c r="S114" i="6"/>
  <c r="T114" i="6" s="1"/>
  <c r="S115" i="6"/>
  <c r="T115" i="6" s="1"/>
  <c r="S116" i="6"/>
  <c r="T116" i="6" s="1"/>
  <c r="S117" i="6"/>
  <c r="T117" i="6" s="1"/>
  <c r="S118" i="6"/>
  <c r="T118" i="6" s="1"/>
  <c r="S119" i="6"/>
  <c r="T119" i="6" s="1"/>
  <c r="S120" i="6"/>
  <c r="T120" i="6" s="1"/>
  <c r="S121" i="6"/>
  <c r="T121" i="6" s="1"/>
  <c r="S122" i="6"/>
  <c r="T122" i="6" s="1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29" i="6"/>
  <c r="P29" i="6" s="1"/>
  <c r="O30" i="6"/>
  <c r="P30" i="6" s="1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P47" i="6" s="1"/>
  <c r="O48" i="6"/>
  <c r="P48" i="6" s="1"/>
  <c r="O49" i="6"/>
  <c r="P49" i="6" s="1"/>
  <c r="O50" i="6"/>
  <c r="P50" i="6" s="1"/>
  <c r="O51" i="6"/>
  <c r="P51" i="6" s="1"/>
  <c r="O52" i="6"/>
  <c r="P52" i="6" s="1"/>
  <c r="O53" i="6"/>
  <c r="P53" i="6" s="1"/>
  <c r="O54" i="6"/>
  <c r="P54" i="6" s="1"/>
  <c r="O55" i="6"/>
  <c r="P55" i="6" s="1"/>
  <c r="O56" i="6"/>
  <c r="P56" i="6" s="1"/>
  <c r="O57" i="6"/>
  <c r="P57" i="6" s="1"/>
  <c r="O58" i="6"/>
  <c r="P58" i="6" s="1"/>
  <c r="O59" i="6"/>
  <c r="P59" i="6" s="1"/>
  <c r="O60" i="6"/>
  <c r="P60" i="6" s="1"/>
  <c r="O61" i="6"/>
  <c r="P61" i="6" s="1"/>
  <c r="O62" i="6"/>
  <c r="P62" i="6" s="1"/>
  <c r="O63" i="6"/>
  <c r="P63" i="6" s="1"/>
  <c r="O64" i="6"/>
  <c r="P64" i="6" s="1"/>
  <c r="O65" i="6"/>
  <c r="P65" i="6" s="1"/>
  <c r="O66" i="6"/>
  <c r="P66" i="6" s="1"/>
  <c r="O67" i="6"/>
  <c r="P67" i="6" s="1"/>
  <c r="O68" i="6"/>
  <c r="P68" i="6" s="1"/>
  <c r="O69" i="6"/>
  <c r="P69" i="6" s="1"/>
  <c r="O70" i="6"/>
  <c r="P70" i="6" s="1"/>
  <c r="O71" i="6"/>
  <c r="P71" i="6" s="1"/>
  <c r="O72" i="6"/>
  <c r="P72" i="6" s="1"/>
  <c r="O73" i="6"/>
  <c r="P73" i="6" s="1"/>
  <c r="O74" i="6"/>
  <c r="P74" i="6" s="1"/>
  <c r="O75" i="6"/>
  <c r="P75" i="6" s="1"/>
  <c r="O76" i="6"/>
  <c r="P76" i="6" s="1"/>
  <c r="O77" i="6"/>
  <c r="P77" i="6" s="1"/>
  <c r="O78" i="6"/>
  <c r="P78" i="6" s="1"/>
  <c r="O79" i="6"/>
  <c r="P79" i="6" s="1"/>
  <c r="O80" i="6"/>
  <c r="P80" i="6" s="1"/>
  <c r="O81" i="6"/>
  <c r="P81" i="6" s="1"/>
  <c r="O82" i="6"/>
  <c r="P82" i="6" s="1"/>
  <c r="O83" i="6"/>
  <c r="P83" i="6" s="1"/>
  <c r="O84" i="6"/>
  <c r="P84" i="6" s="1"/>
  <c r="O85" i="6"/>
  <c r="P85" i="6" s="1"/>
  <c r="O86" i="6"/>
  <c r="P86" i="6" s="1"/>
  <c r="O87" i="6"/>
  <c r="P87" i="6" s="1"/>
  <c r="O88" i="6"/>
  <c r="P88" i="6" s="1"/>
  <c r="O89" i="6"/>
  <c r="P89" i="6" s="1"/>
  <c r="O90" i="6"/>
  <c r="P90" i="6" s="1"/>
  <c r="O91" i="6"/>
  <c r="P91" i="6" s="1"/>
  <c r="O92" i="6"/>
  <c r="P92" i="6" s="1"/>
  <c r="O93" i="6"/>
  <c r="P93" i="6" s="1"/>
  <c r="O94" i="6"/>
  <c r="P94" i="6" s="1"/>
  <c r="O95" i="6"/>
  <c r="P95" i="6" s="1"/>
  <c r="O96" i="6"/>
  <c r="P96" i="6" s="1"/>
  <c r="O97" i="6"/>
  <c r="P97" i="6" s="1"/>
  <c r="O98" i="6"/>
  <c r="P98" i="6" s="1"/>
  <c r="O99" i="6"/>
  <c r="P99" i="6" s="1"/>
  <c r="O100" i="6"/>
  <c r="P100" i="6" s="1"/>
  <c r="O101" i="6"/>
  <c r="P101" i="6" s="1"/>
  <c r="O102" i="6"/>
  <c r="P102" i="6" s="1"/>
  <c r="O103" i="6"/>
  <c r="P103" i="6" s="1"/>
  <c r="O104" i="6"/>
  <c r="P104" i="6" s="1"/>
  <c r="O105" i="6"/>
  <c r="P105" i="6" s="1"/>
  <c r="O106" i="6"/>
  <c r="P106" i="6" s="1"/>
  <c r="O107" i="6"/>
  <c r="P107" i="6" s="1"/>
  <c r="O108" i="6"/>
  <c r="P108" i="6" s="1"/>
  <c r="O109" i="6"/>
  <c r="P109" i="6" s="1"/>
  <c r="O110" i="6"/>
  <c r="P110" i="6" s="1"/>
  <c r="O111" i="6"/>
  <c r="P111" i="6" s="1"/>
  <c r="O112" i="6"/>
  <c r="P112" i="6" s="1"/>
  <c r="O113" i="6"/>
  <c r="P113" i="6" s="1"/>
  <c r="O114" i="6"/>
  <c r="P114" i="6" s="1"/>
  <c r="O115" i="6"/>
  <c r="P115" i="6" s="1"/>
  <c r="O116" i="6"/>
  <c r="P116" i="6" s="1"/>
  <c r="O117" i="6"/>
  <c r="P117" i="6" s="1"/>
  <c r="O118" i="6"/>
  <c r="P118" i="6" s="1"/>
  <c r="O119" i="6"/>
  <c r="P119" i="6" s="1"/>
  <c r="O120" i="6"/>
  <c r="P120" i="6" s="1"/>
  <c r="O121" i="6"/>
  <c r="P121" i="6" s="1"/>
  <c r="O122" i="6"/>
  <c r="P122" i="6" s="1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S13" i="6"/>
  <c r="T13" i="6" s="1"/>
  <c r="O11" i="6"/>
  <c r="P11" i="6" s="1"/>
  <c r="O12" i="6"/>
  <c r="P12" i="6" s="1"/>
  <c r="K9" i="6"/>
  <c r="L9" i="6" s="1"/>
  <c r="G10" i="6"/>
  <c r="H10" i="6" s="1"/>
  <c r="G8" i="6"/>
  <c r="H8" i="6" s="1"/>
  <c r="G9" i="6"/>
  <c r="H9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H111" i="6" s="1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7" i="6"/>
  <c r="H7" i="6" s="1"/>
  <c r="C6" i="6"/>
  <c r="D6" i="6" s="1"/>
  <c r="C7" i="6"/>
  <c r="D7" i="6" s="1"/>
  <c r="C8" i="6"/>
  <c r="D8" i="6" s="1"/>
  <c r="C9" i="6"/>
  <c r="D9" i="6" s="1"/>
  <c r="C10" i="6"/>
  <c r="D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D18" i="6" s="1"/>
  <c r="C19" i="6"/>
  <c r="D19" i="6" s="1"/>
  <c r="C20" i="6"/>
  <c r="D20" i="6" s="1"/>
  <c r="C21" i="6"/>
  <c r="D21" i="6" s="1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5" i="6"/>
  <c r="D5" i="6" s="1"/>
  <c r="E118" i="5"/>
  <c r="F118" i="5" s="1"/>
  <c r="E119" i="5"/>
  <c r="F119" i="5" s="1"/>
  <c r="E120" i="5"/>
  <c r="F120" i="5" s="1"/>
  <c r="E121" i="5"/>
  <c r="F121" i="5" s="1"/>
  <c r="E122" i="5"/>
  <c r="F122" i="5" s="1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F110" i="2"/>
  <c r="F111" i="2"/>
  <c r="F112" i="2"/>
  <c r="F113" i="2"/>
  <c r="F114" i="2"/>
  <c r="F115" i="2"/>
  <c r="F116" i="2"/>
  <c r="F117" i="2"/>
  <c r="E110" i="5"/>
  <c r="F110" i="5" s="1"/>
  <c r="E111" i="5"/>
  <c r="F111" i="5" s="1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I106" i="2"/>
  <c r="I107" i="2"/>
  <c r="I108" i="2"/>
  <c r="I109" i="2"/>
  <c r="G106" i="2"/>
  <c r="H106" i="2"/>
  <c r="G107" i="2"/>
  <c r="H107" i="2"/>
  <c r="G108" i="2"/>
  <c r="H108" i="2"/>
  <c r="G109" i="2"/>
  <c r="H109" i="2"/>
  <c r="F106" i="2"/>
  <c r="F107" i="2"/>
  <c r="F108" i="2"/>
  <c r="F109" i="2"/>
  <c r="E106" i="5"/>
  <c r="F106" i="5" s="1"/>
  <c r="E107" i="5"/>
  <c r="F107" i="5" s="1"/>
  <c r="E108" i="5"/>
  <c r="F108" i="5" s="1"/>
  <c r="E109" i="5"/>
  <c r="F109" i="5" s="1"/>
  <c r="F98" i="2" l="1"/>
  <c r="E3" i="5" l="1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 s="1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F104" i="5" s="1"/>
  <c r="E105" i="5"/>
  <c r="F105" i="5" s="1"/>
  <c r="E2" i="5"/>
  <c r="F2" i="5" s="1"/>
  <c r="I100" i="2" l="1"/>
  <c r="I101" i="2"/>
  <c r="I102" i="2"/>
  <c r="I103" i="2"/>
  <c r="I104" i="2"/>
  <c r="I105" i="2"/>
  <c r="H100" i="2"/>
  <c r="H101" i="2"/>
  <c r="H102" i="2"/>
  <c r="H103" i="2"/>
  <c r="H104" i="2"/>
  <c r="H105" i="2"/>
  <c r="G100" i="2"/>
  <c r="G101" i="2"/>
  <c r="G102" i="2"/>
  <c r="G103" i="2"/>
  <c r="G104" i="2"/>
  <c r="G105" i="2"/>
  <c r="F100" i="2"/>
  <c r="F101" i="2"/>
  <c r="F102" i="2"/>
  <c r="F103" i="2"/>
  <c r="F104" i="2"/>
  <c r="F105" i="2"/>
  <c r="F29" i="2" l="1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9" i="2"/>
  <c r="F28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G75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28" i="2"/>
</calcChain>
</file>

<file path=xl/sharedStrings.xml><?xml version="1.0" encoding="utf-8"?>
<sst xmlns="http://schemas.openxmlformats.org/spreadsheetml/2006/main" count="61" uniqueCount="47">
  <si>
    <t>Cnt1</t>
  </si>
  <si>
    <t>Cnt2</t>
  </si>
  <si>
    <t>TotCnt1</t>
  </si>
  <si>
    <t>TotCnt2</t>
  </si>
  <si>
    <t>V1</t>
  </si>
  <si>
    <t>V2</t>
  </si>
  <si>
    <t>T</t>
  </si>
  <si>
    <t>H</t>
  </si>
  <si>
    <t>P</t>
  </si>
  <si>
    <t>Counts</t>
  </si>
  <si>
    <t>RawCnt</t>
  </si>
  <si>
    <t>Spikes</t>
  </si>
  <si>
    <t>CorrF</t>
  </si>
  <si>
    <t>CAS_N0</t>
  </si>
  <si>
    <t>newCAS_N0</t>
  </si>
  <si>
    <t>CAS_UTS</t>
  </si>
  <si>
    <t>Vbat</t>
  </si>
  <si>
    <t>Data e Hora</t>
  </si>
  <si>
    <t>Média móvel 24 h CAS_N0</t>
  </si>
  <si>
    <t>Média móvel 24 h newCAS_N0</t>
  </si>
  <si>
    <t>Média móvel 24 h CAS_UTS</t>
  </si>
  <si>
    <t>Média móvel 24 h Counts</t>
  </si>
  <si>
    <t>a0</t>
  </si>
  <si>
    <t>a1</t>
  </si>
  <si>
    <t>a2</t>
  </si>
  <si>
    <t>N0</t>
  </si>
  <si>
    <t>Nmax</t>
  </si>
  <si>
    <t>Psat</t>
  </si>
  <si>
    <t>Habs</t>
  </si>
  <si>
    <t>MM 4h</t>
  </si>
  <si>
    <t>MM 6h</t>
  </si>
  <si>
    <t>MM 8h</t>
  </si>
  <si>
    <t>MM 10h</t>
  </si>
  <si>
    <t>MM12h</t>
  </si>
  <si>
    <t>N0_4h</t>
  </si>
  <si>
    <t>N0_6h</t>
  </si>
  <si>
    <t>N0_8h</t>
  </si>
  <si>
    <t>N0_10h</t>
  </si>
  <si>
    <t>N0_12h</t>
  </si>
  <si>
    <t>MM24h</t>
  </si>
  <si>
    <t>N0_24h</t>
  </si>
  <si>
    <t>UTS_4h</t>
  </si>
  <si>
    <t>UTS_6h</t>
  </si>
  <si>
    <t>UTS_10h</t>
  </si>
  <si>
    <t>UTS_12h</t>
  </si>
  <si>
    <t>UTS_24h</t>
  </si>
  <si>
    <t>UTS_8h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</si>
</sst>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5" fillId="2" borderId="0" xfId="0" applyFont="1" applyFill="1"/>
    <xf numFmtId="0" fontId="3" fillId="2" borderId="0" xfId="0" applyFont="1" applyFill="1"/>
    <xf numFmtId="164" fontId="0" fillId="0" borderId="0" xfId="0" applyNumberFormat="1"/>
    <xf numFmtId="22" fontId="4" fillId="0" borderId="0" xfId="0" applyNumberFormat="1" applyFont="1"/>
    <xf numFmtId="164" fontId="2" fillId="0" borderId="0" xfId="0" applyNumberFormat="1" applyFont="1"/>
    <xf numFmtId="2" fontId="4" fillId="0" borderId="0" xfId="0" applyNumberFormat="1" applyFont="1"/>
    <xf numFmtId="0" fontId="6" fillId="0" borderId="0" xfId="0" applyFont="1"/>
    <xf numFmtId="2" fontId="3" fillId="0" borderId="0" xfId="0" applyNumberFormat="1" applyFont="1"/>
    <xf numFmtId="2" fontId="5" fillId="0" borderId="0" xfId="0" applyNumberFormat="1" applyFont="1"/>
    <xf numFmtId="2" fontId="6" fillId="0" borderId="0" xfId="0" applyNumberFormat="1" applyFont="1"/>
    <xf numFmtId="2" fontId="0" fillId="0" borderId="0" xfId="0" applyNumberFormat="1"/>
    <xf numFmtId="0" fontId="6" fillId="2" borderId="0" xfId="0" applyFont="1" applyFill="1"/>
    <xf numFmtId="165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165" fontId="0" fillId="0" borderId="0" xfId="0" applyNumberFormat="1"/>
    <xf numFmtId="22" fontId="4" fillId="2" borderId="0" xfId="0" applyNumberFormat="1" applyFont="1" applyFill="1"/>
    <xf numFmtId="0" fontId="3" fillId="3" borderId="0" xfId="0" applyFon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Horas e 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Completos'!$Q$1</c:f>
              <c:strCache>
                <c:ptCount val="1"/>
                <c:pt idx="0">
                  <c:v>CAS_N0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'Dados Completos'!$C$2:$C$136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'Dados Completos'!$Q$2:$Q$136</c:f>
              <c:numCache>
                <c:formatCode>General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-4.72</c:v>
                </c:pt>
                <c:pt idx="3">
                  <c:v>4.51</c:v>
                </c:pt>
                <c:pt idx="4">
                  <c:v>4.75</c:v>
                </c:pt>
                <c:pt idx="5">
                  <c:v>16.59</c:v>
                </c:pt>
                <c:pt idx="6">
                  <c:v>26.61</c:v>
                </c:pt>
                <c:pt idx="7">
                  <c:v>24.29</c:v>
                </c:pt>
                <c:pt idx="8">
                  <c:v>22.24</c:v>
                </c:pt>
                <c:pt idx="9">
                  <c:v>58.32</c:v>
                </c:pt>
                <c:pt idx="10">
                  <c:v>25.09</c:v>
                </c:pt>
                <c:pt idx="11">
                  <c:v>81.03</c:v>
                </c:pt>
                <c:pt idx="12">
                  <c:v>207.33</c:v>
                </c:pt>
                <c:pt idx="13">
                  <c:v>238.01</c:v>
                </c:pt>
                <c:pt idx="14">
                  <c:v>115.6</c:v>
                </c:pt>
                <c:pt idx="15">
                  <c:v>20.6</c:v>
                </c:pt>
                <c:pt idx="16">
                  <c:v>286.55</c:v>
                </c:pt>
                <c:pt idx="17">
                  <c:v>41.97</c:v>
                </c:pt>
                <c:pt idx="18">
                  <c:v>255.17</c:v>
                </c:pt>
                <c:pt idx="19">
                  <c:v>218.54</c:v>
                </c:pt>
                <c:pt idx="20">
                  <c:v>136.57</c:v>
                </c:pt>
                <c:pt idx="21">
                  <c:v>13.68</c:v>
                </c:pt>
                <c:pt idx="22">
                  <c:v>-2.68</c:v>
                </c:pt>
                <c:pt idx="23">
                  <c:v>-8.51</c:v>
                </c:pt>
                <c:pt idx="24">
                  <c:v>-9.48</c:v>
                </c:pt>
                <c:pt idx="25">
                  <c:v>-7.21</c:v>
                </c:pt>
                <c:pt idx="26">
                  <c:v>-2.85</c:v>
                </c:pt>
                <c:pt idx="27">
                  <c:v>4.1500000000000004</c:v>
                </c:pt>
                <c:pt idx="28">
                  <c:v>11.55</c:v>
                </c:pt>
                <c:pt idx="29">
                  <c:v>30.62</c:v>
                </c:pt>
                <c:pt idx="30">
                  <c:v>34.85</c:v>
                </c:pt>
                <c:pt idx="31">
                  <c:v>44.53</c:v>
                </c:pt>
                <c:pt idx="32">
                  <c:v>41.45</c:v>
                </c:pt>
                <c:pt idx="33">
                  <c:v>171.54</c:v>
                </c:pt>
                <c:pt idx="34">
                  <c:v>59.54</c:v>
                </c:pt>
                <c:pt idx="35">
                  <c:v>45.99</c:v>
                </c:pt>
                <c:pt idx="36">
                  <c:v>89.53</c:v>
                </c:pt>
                <c:pt idx="37">
                  <c:v>53.06</c:v>
                </c:pt>
                <c:pt idx="38">
                  <c:v>72.55</c:v>
                </c:pt>
                <c:pt idx="39">
                  <c:v>81.17</c:v>
                </c:pt>
                <c:pt idx="40">
                  <c:v>205.84</c:v>
                </c:pt>
                <c:pt idx="41">
                  <c:v>121.27</c:v>
                </c:pt>
                <c:pt idx="42">
                  <c:v>78.62</c:v>
                </c:pt>
                <c:pt idx="43">
                  <c:v>0.61</c:v>
                </c:pt>
                <c:pt idx="44">
                  <c:v>-8.57</c:v>
                </c:pt>
                <c:pt idx="45">
                  <c:v>-6.51</c:v>
                </c:pt>
                <c:pt idx="46">
                  <c:v>-9.35</c:v>
                </c:pt>
                <c:pt idx="47">
                  <c:v>-9.94</c:v>
                </c:pt>
                <c:pt idx="48">
                  <c:v>-8.6</c:v>
                </c:pt>
                <c:pt idx="49">
                  <c:v>11.02</c:v>
                </c:pt>
                <c:pt idx="50">
                  <c:v>49.79</c:v>
                </c:pt>
                <c:pt idx="51">
                  <c:v>81.09</c:v>
                </c:pt>
                <c:pt idx="52">
                  <c:v>121.83</c:v>
                </c:pt>
                <c:pt idx="53">
                  <c:v>67.22</c:v>
                </c:pt>
                <c:pt idx="54">
                  <c:v>46.68</c:v>
                </c:pt>
                <c:pt idx="55">
                  <c:v>35.93</c:v>
                </c:pt>
                <c:pt idx="56">
                  <c:v>198.81</c:v>
                </c:pt>
                <c:pt idx="57">
                  <c:v>32.67</c:v>
                </c:pt>
                <c:pt idx="58">
                  <c:v>73.349999999999994</c:v>
                </c:pt>
                <c:pt idx="59">
                  <c:v>201.11</c:v>
                </c:pt>
                <c:pt idx="60">
                  <c:v>58.51</c:v>
                </c:pt>
                <c:pt idx="61">
                  <c:v>72.59</c:v>
                </c:pt>
                <c:pt idx="62">
                  <c:v>118.4</c:v>
                </c:pt>
                <c:pt idx="63">
                  <c:v>86.11</c:v>
                </c:pt>
                <c:pt idx="64">
                  <c:v>54.62</c:v>
                </c:pt>
                <c:pt idx="65">
                  <c:v>145.24</c:v>
                </c:pt>
                <c:pt idx="66">
                  <c:v>81.53</c:v>
                </c:pt>
                <c:pt idx="67">
                  <c:v>58.37</c:v>
                </c:pt>
                <c:pt idx="68">
                  <c:v>14.49</c:v>
                </c:pt>
                <c:pt idx="69">
                  <c:v>-1.52</c:v>
                </c:pt>
                <c:pt idx="70">
                  <c:v>-4.45</c:v>
                </c:pt>
                <c:pt idx="71">
                  <c:v>0.81</c:v>
                </c:pt>
                <c:pt idx="72">
                  <c:v>84.55</c:v>
                </c:pt>
                <c:pt idx="73">
                  <c:v>90.91</c:v>
                </c:pt>
                <c:pt idx="74">
                  <c:v>87.57</c:v>
                </c:pt>
                <c:pt idx="75">
                  <c:v>36.909999999999997</c:v>
                </c:pt>
                <c:pt idx="76">
                  <c:v>61.07</c:v>
                </c:pt>
                <c:pt idx="77">
                  <c:v>28.85</c:v>
                </c:pt>
                <c:pt idx="78">
                  <c:v>92.61</c:v>
                </c:pt>
                <c:pt idx="79">
                  <c:v>83.72</c:v>
                </c:pt>
                <c:pt idx="80">
                  <c:v>78.83</c:v>
                </c:pt>
                <c:pt idx="81">
                  <c:v>121.23</c:v>
                </c:pt>
                <c:pt idx="82">
                  <c:v>102.47</c:v>
                </c:pt>
                <c:pt idx="83">
                  <c:v>48.71</c:v>
                </c:pt>
                <c:pt idx="84">
                  <c:v>127.31</c:v>
                </c:pt>
                <c:pt idx="85">
                  <c:v>79.92</c:v>
                </c:pt>
                <c:pt idx="86">
                  <c:v>81.59</c:v>
                </c:pt>
                <c:pt idx="87">
                  <c:v>80.69</c:v>
                </c:pt>
                <c:pt idx="88">
                  <c:v>55.01</c:v>
                </c:pt>
                <c:pt idx="89">
                  <c:v>119.65</c:v>
                </c:pt>
                <c:pt idx="90">
                  <c:v>34.46</c:v>
                </c:pt>
                <c:pt idx="91">
                  <c:v>-6.26</c:v>
                </c:pt>
                <c:pt idx="92">
                  <c:v>-6.78</c:v>
                </c:pt>
                <c:pt idx="93">
                  <c:v>3.96</c:v>
                </c:pt>
                <c:pt idx="94">
                  <c:v>0.95</c:v>
                </c:pt>
                <c:pt idx="95">
                  <c:v>13.74</c:v>
                </c:pt>
                <c:pt idx="96">
                  <c:v>45.51</c:v>
                </c:pt>
                <c:pt idx="97">
                  <c:v>73.94</c:v>
                </c:pt>
                <c:pt idx="98">
                  <c:v>408.01</c:v>
                </c:pt>
                <c:pt idx="99">
                  <c:v>120.74</c:v>
                </c:pt>
                <c:pt idx="100">
                  <c:v>126.84</c:v>
                </c:pt>
                <c:pt idx="101">
                  <c:v>77.849999999999994</c:v>
                </c:pt>
                <c:pt idx="102">
                  <c:v>51.41</c:v>
                </c:pt>
                <c:pt idx="103">
                  <c:v>75.459999999999994</c:v>
                </c:pt>
                <c:pt idx="104">
                  <c:v>81.62</c:v>
                </c:pt>
                <c:pt idx="105">
                  <c:v>597.42999999999995</c:v>
                </c:pt>
                <c:pt idx="106">
                  <c:v>59.39</c:v>
                </c:pt>
                <c:pt idx="107">
                  <c:v>75.16</c:v>
                </c:pt>
                <c:pt idx="108">
                  <c:v>72.67</c:v>
                </c:pt>
                <c:pt idx="109">
                  <c:v>35.729999999999997</c:v>
                </c:pt>
                <c:pt idx="110">
                  <c:v>15.1</c:v>
                </c:pt>
                <c:pt idx="111">
                  <c:v>60.93</c:v>
                </c:pt>
                <c:pt idx="112">
                  <c:v>146.55000000000001</c:v>
                </c:pt>
                <c:pt idx="113">
                  <c:v>45.54</c:v>
                </c:pt>
                <c:pt idx="114">
                  <c:v>35.380000000000003</c:v>
                </c:pt>
                <c:pt idx="115">
                  <c:v>15.27</c:v>
                </c:pt>
                <c:pt idx="116">
                  <c:v>28.2</c:v>
                </c:pt>
                <c:pt idx="117">
                  <c:v>39.04</c:v>
                </c:pt>
                <c:pt idx="118">
                  <c:v>68.22</c:v>
                </c:pt>
                <c:pt idx="119">
                  <c:v>84.75</c:v>
                </c:pt>
                <c:pt idx="120">
                  <c:v>67.709999999999994</c:v>
                </c:pt>
                <c:pt idx="121">
                  <c:v>109.88</c:v>
                </c:pt>
                <c:pt idx="122">
                  <c:v>55.52</c:v>
                </c:pt>
                <c:pt idx="123">
                  <c:v>133.81</c:v>
                </c:pt>
                <c:pt idx="124">
                  <c:v>67.23</c:v>
                </c:pt>
                <c:pt idx="125">
                  <c:v>51.72</c:v>
                </c:pt>
                <c:pt idx="126">
                  <c:v>86.81</c:v>
                </c:pt>
                <c:pt idx="127">
                  <c:v>57.56</c:v>
                </c:pt>
                <c:pt idx="128">
                  <c:v>111.16</c:v>
                </c:pt>
                <c:pt idx="129">
                  <c:v>185.16</c:v>
                </c:pt>
                <c:pt idx="130">
                  <c:v>56.37</c:v>
                </c:pt>
                <c:pt idx="131">
                  <c:v>80.02</c:v>
                </c:pt>
                <c:pt idx="132">
                  <c:v>296.01</c:v>
                </c:pt>
                <c:pt idx="133">
                  <c:v>65.81</c:v>
                </c:pt>
                <c:pt idx="134">
                  <c:v>82.11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F-40F6-9B0B-5146DDBBC065}"/>
            </c:ext>
          </c:extLst>
        </c:ser>
        <c:ser>
          <c:idx val="1"/>
          <c:order val="1"/>
          <c:tx>
            <c:strRef>
              <c:f>'Dados Completos'!$R$1</c:f>
              <c:strCache>
                <c:ptCount val="1"/>
                <c:pt idx="0">
                  <c:v>newCAS_N0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'Dados Completos'!$C$2:$C$136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'Dados Completos'!$R$2:$R$136</c:f>
              <c:numCache>
                <c:formatCode>General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15.09</c:v>
                </c:pt>
                <c:pt idx="3">
                  <c:v>19.98</c:v>
                </c:pt>
                <c:pt idx="4">
                  <c:v>20.100000000000001</c:v>
                </c:pt>
                <c:pt idx="5">
                  <c:v>26.38</c:v>
                </c:pt>
                <c:pt idx="6">
                  <c:v>31.68</c:v>
                </c:pt>
                <c:pt idx="7">
                  <c:v>30.45</c:v>
                </c:pt>
                <c:pt idx="8">
                  <c:v>29.37</c:v>
                </c:pt>
                <c:pt idx="9">
                  <c:v>48.48</c:v>
                </c:pt>
                <c:pt idx="10">
                  <c:v>30.88</c:v>
                </c:pt>
                <c:pt idx="11">
                  <c:v>60.51</c:v>
                </c:pt>
                <c:pt idx="12">
                  <c:v>127.46</c:v>
                </c:pt>
                <c:pt idx="13">
                  <c:v>147.72999999999999</c:v>
                </c:pt>
                <c:pt idx="14">
                  <c:v>78.83</c:v>
                </c:pt>
                <c:pt idx="15">
                  <c:v>28.5</c:v>
                </c:pt>
                <c:pt idx="16">
                  <c:v>169.49</c:v>
                </c:pt>
                <c:pt idx="17">
                  <c:v>39.82</c:v>
                </c:pt>
                <c:pt idx="18">
                  <c:v>152.83000000000001</c:v>
                </c:pt>
                <c:pt idx="19">
                  <c:v>133.41</c:v>
                </c:pt>
                <c:pt idx="20">
                  <c:v>89.94</c:v>
                </c:pt>
                <c:pt idx="21">
                  <c:v>24.83</c:v>
                </c:pt>
                <c:pt idx="22">
                  <c:v>16.170000000000002</c:v>
                </c:pt>
                <c:pt idx="23">
                  <c:v>13.08</c:v>
                </c:pt>
                <c:pt idx="24">
                  <c:v>12.57</c:v>
                </c:pt>
                <c:pt idx="25">
                  <c:v>13.77</c:v>
                </c:pt>
                <c:pt idx="26">
                  <c:v>16.079999999999998</c:v>
                </c:pt>
                <c:pt idx="27">
                  <c:v>19.79</c:v>
                </c:pt>
                <c:pt idx="28">
                  <c:v>23.71</c:v>
                </c:pt>
                <c:pt idx="29">
                  <c:v>33.799999999999997</c:v>
                </c:pt>
                <c:pt idx="30">
                  <c:v>36.049999999999997</c:v>
                </c:pt>
                <c:pt idx="31">
                  <c:v>41.17</c:v>
                </c:pt>
                <c:pt idx="32">
                  <c:v>39.54</c:v>
                </c:pt>
                <c:pt idx="33">
                  <c:v>108.48</c:v>
                </c:pt>
                <c:pt idx="34">
                  <c:v>49.08</c:v>
                </c:pt>
                <c:pt idx="35">
                  <c:v>41.95</c:v>
                </c:pt>
                <c:pt idx="36">
                  <c:v>65.02</c:v>
                </c:pt>
                <c:pt idx="37">
                  <c:v>45.69</c:v>
                </c:pt>
                <c:pt idx="38">
                  <c:v>56.02</c:v>
                </c:pt>
                <c:pt idx="39">
                  <c:v>60.58</c:v>
                </c:pt>
                <c:pt idx="40">
                  <c:v>126.69</c:v>
                </c:pt>
                <c:pt idx="41">
                  <c:v>81.83</c:v>
                </c:pt>
                <c:pt idx="42">
                  <c:v>59.23</c:v>
                </c:pt>
                <c:pt idx="43">
                  <c:v>17.91</c:v>
                </c:pt>
                <c:pt idx="44">
                  <c:v>13.05</c:v>
                </c:pt>
                <c:pt idx="45">
                  <c:v>14.14</c:v>
                </c:pt>
                <c:pt idx="46">
                  <c:v>12.64</c:v>
                </c:pt>
                <c:pt idx="47">
                  <c:v>12.33</c:v>
                </c:pt>
                <c:pt idx="48">
                  <c:v>13.03</c:v>
                </c:pt>
                <c:pt idx="49">
                  <c:v>23.42</c:v>
                </c:pt>
                <c:pt idx="50">
                  <c:v>43.96</c:v>
                </c:pt>
                <c:pt idx="51">
                  <c:v>60.54</c:v>
                </c:pt>
                <c:pt idx="52">
                  <c:v>82.13</c:v>
                </c:pt>
                <c:pt idx="53">
                  <c:v>53.19</c:v>
                </c:pt>
                <c:pt idx="54">
                  <c:v>42.32</c:v>
                </c:pt>
                <c:pt idx="55">
                  <c:v>36.619999999999997</c:v>
                </c:pt>
                <c:pt idx="56">
                  <c:v>122.94</c:v>
                </c:pt>
                <c:pt idx="57">
                  <c:v>34.89</c:v>
                </c:pt>
                <c:pt idx="58">
                  <c:v>56.44</c:v>
                </c:pt>
                <c:pt idx="59">
                  <c:v>124.16</c:v>
                </c:pt>
                <c:pt idx="60">
                  <c:v>48.58</c:v>
                </c:pt>
                <c:pt idx="61">
                  <c:v>56.04</c:v>
                </c:pt>
                <c:pt idx="62">
                  <c:v>80.31</c:v>
                </c:pt>
                <c:pt idx="63">
                  <c:v>63.2</c:v>
                </c:pt>
                <c:pt idx="64">
                  <c:v>46.52</c:v>
                </c:pt>
                <c:pt idx="65">
                  <c:v>94.54</c:v>
                </c:pt>
                <c:pt idx="66">
                  <c:v>60.78</c:v>
                </c:pt>
                <c:pt idx="67">
                  <c:v>48.51</c:v>
                </c:pt>
                <c:pt idx="68">
                  <c:v>25.26</c:v>
                </c:pt>
                <c:pt idx="69">
                  <c:v>16.78</c:v>
                </c:pt>
                <c:pt idx="70">
                  <c:v>15.24</c:v>
                </c:pt>
                <c:pt idx="71">
                  <c:v>18.02</c:v>
                </c:pt>
                <c:pt idx="72">
                  <c:v>62.38</c:v>
                </c:pt>
                <c:pt idx="73">
                  <c:v>65.75</c:v>
                </c:pt>
                <c:pt idx="74">
                  <c:v>65.040000000000006</c:v>
                </c:pt>
                <c:pt idx="75">
                  <c:v>37.14</c:v>
                </c:pt>
                <c:pt idx="76">
                  <c:v>49.94</c:v>
                </c:pt>
                <c:pt idx="77">
                  <c:v>32.840000000000003</c:v>
                </c:pt>
                <c:pt idx="78">
                  <c:v>66.650000000000006</c:v>
                </c:pt>
                <c:pt idx="79">
                  <c:v>61.64</c:v>
                </c:pt>
                <c:pt idx="80">
                  <c:v>59.34</c:v>
                </c:pt>
                <c:pt idx="81">
                  <c:v>81.81</c:v>
                </c:pt>
                <c:pt idx="82">
                  <c:v>71.87</c:v>
                </c:pt>
                <c:pt idx="83">
                  <c:v>43.39</c:v>
                </c:pt>
                <c:pt idx="84">
                  <c:v>85.04</c:v>
                </c:pt>
                <c:pt idx="85">
                  <c:v>59.92</c:v>
                </c:pt>
                <c:pt idx="86">
                  <c:v>60.81</c:v>
                </c:pt>
                <c:pt idx="87">
                  <c:v>60.33</c:v>
                </c:pt>
                <c:pt idx="88">
                  <c:v>46.72</c:v>
                </c:pt>
                <c:pt idx="89">
                  <c:v>80.98</c:v>
                </c:pt>
                <c:pt idx="90">
                  <c:v>35.840000000000003</c:v>
                </c:pt>
                <c:pt idx="91">
                  <c:v>14.28</c:v>
                </c:pt>
                <c:pt idx="92">
                  <c:v>14</c:v>
                </c:pt>
                <c:pt idx="93">
                  <c:v>19.690000000000001</c:v>
                </c:pt>
                <c:pt idx="94">
                  <c:v>18.100000000000001</c:v>
                </c:pt>
                <c:pt idx="95">
                  <c:v>24.87</c:v>
                </c:pt>
                <c:pt idx="96">
                  <c:v>41.96</c:v>
                </c:pt>
                <c:pt idx="97">
                  <c:v>56.75</c:v>
                </c:pt>
                <c:pt idx="98">
                  <c:v>233.96</c:v>
                </c:pt>
                <c:pt idx="99">
                  <c:v>81.55</c:v>
                </c:pt>
                <c:pt idx="100">
                  <c:v>84.79</c:v>
                </c:pt>
                <c:pt idx="101">
                  <c:v>58.83</c:v>
                </c:pt>
                <c:pt idx="102">
                  <c:v>44.82</c:v>
                </c:pt>
                <c:pt idx="103">
                  <c:v>57.56</c:v>
                </c:pt>
                <c:pt idx="104">
                  <c:v>60.83</c:v>
                </c:pt>
                <c:pt idx="105">
                  <c:v>334.64</c:v>
                </c:pt>
                <c:pt idx="106">
                  <c:v>49.04</c:v>
                </c:pt>
                <c:pt idx="107">
                  <c:v>57.4</c:v>
                </c:pt>
                <c:pt idx="108">
                  <c:v>56.08</c:v>
                </c:pt>
                <c:pt idx="109">
                  <c:v>36.51</c:v>
                </c:pt>
                <c:pt idx="110">
                  <c:v>25.58</c:v>
                </c:pt>
                <c:pt idx="111">
                  <c:v>49.86</c:v>
                </c:pt>
                <c:pt idx="112">
                  <c:v>95.23</c:v>
                </c:pt>
                <c:pt idx="113">
                  <c:v>41.71</c:v>
                </c:pt>
                <c:pt idx="114">
                  <c:v>36.33</c:v>
                </c:pt>
                <c:pt idx="115">
                  <c:v>25.68</c:v>
                </c:pt>
                <c:pt idx="116">
                  <c:v>32.53</c:v>
                </c:pt>
                <c:pt idx="117">
                  <c:v>38.26</c:v>
                </c:pt>
                <c:pt idx="118">
                  <c:v>53.72</c:v>
                </c:pt>
                <c:pt idx="119">
                  <c:v>62.48</c:v>
                </c:pt>
                <c:pt idx="120">
                  <c:v>53.45</c:v>
                </c:pt>
                <c:pt idx="121">
                  <c:v>75.8</c:v>
                </c:pt>
                <c:pt idx="122">
                  <c:v>46.99</c:v>
                </c:pt>
                <c:pt idx="123">
                  <c:v>88.48</c:v>
                </c:pt>
                <c:pt idx="124">
                  <c:v>53.2</c:v>
                </c:pt>
                <c:pt idx="125">
                  <c:v>44.98</c:v>
                </c:pt>
                <c:pt idx="126">
                  <c:v>63.57</c:v>
                </c:pt>
                <c:pt idx="127">
                  <c:v>48.08</c:v>
                </c:pt>
                <c:pt idx="128">
                  <c:v>76.47</c:v>
                </c:pt>
                <c:pt idx="129">
                  <c:v>115.71</c:v>
                </c:pt>
                <c:pt idx="130">
                  <c:v>47.45</c:v>
                </c:pt>
                <c:pt idx="131">
                  <c:v>59.98</c:v>
                </c:pt>
                <c:pt idx="132">
                  <c:v>174.51</c:v>
                </c:pt>
                <c:pt idx="133">
                  <c:v>52.45</c:v>
                </c:pt>
                <c:pt idx="134">
                  <c:v>61.08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FF-40F6-9B0B-5146DDBBC065}"/>
            </c:ext>
          </c:extLst>
        </c:ser>
        <c:ser>
          <c:idx val="2"/>
          <c:order val="2"/>
          <c:tx>
            <c:strRef>
              <c:f>'Dados Completos'!$S$1</c:f>
              <c:strCache>
                <c:ptCount val="1"/>
                <c:pt idx="0">
                  <c:v>CAS_UTS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'Dados Completos'!$C$2:$C$136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'Dados Completos'!$S$2:$S$136</c:f>
              <c:numCache>
                <c:formatCode>General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58.13</c:v>
                </c:pt>
                <c:pt idx="3">
                  <c:v>-37.590000000000003</c:v>
                </c:pt>
                <c:pt idx="4">
                  <c:v>-35.869999999999997</c:v>
                </c:pt>
                <c:pt idx="5">
                  <c:v>13.29</c:v>
                </c:pt>
                <c:pt idx="6">
                  <c:v>20.36</c:v>
                </c:pt>
                <c:pt idx="7">
                  <c:v>19.170000000000002</c:v>
                </c:pt>
                <c:pt idx="8">
                  <c:v>18.010000000000002</c:v>
                </c:pt>
                <c:pt idx="9">
                  <c:v>39.35</c:v>
                </c:pt>
                <c:pt idx="10">
                  <c:v>20.11</c:v>
                </c:pt>
                <c:pt idx="11">
                  <c:v>50.21</c:v>
                </c:pt>
                <c:pt idx="12">
                  <c:v>93.23</c:v>
                </c:pt>
                <c:pt idx="13">
                  <c:v>101.71</c:v>
                </c:pt>
                <c:pt idx="14">
                  <c:v>63.62</c:v>
                </c:pt>
                <c:pt idx="15">
                  <c:v>17.05</c:v>
                </c:pt>
                <c:pt idx="16">
                  <c:v>119.35</c:v>
                </c:pt>
                <c:pt idx="17">
                  <c:v>31.09</c:v>
                </c:pt>
                <c:pt idx="18">
                  <c:v>106.14</c:v>
                </c:pt>
                <c:pt idx="19">
                  <c:v>89.18</c:v>
                </c:pt>
                <c:pt idx="20">
                  <c:v>62.51</c:v>
                </c:pt>
                <c:pt idx="21">
                  <c:v>-27.64</c:v>
                </c:pt>
                <c:pt idx="22">
                  <c:v>-50.81</c:v>
                </c:pt>
                <c:pt idx="23">
                  <c:v>-331.29</c:v>
                </c:pt>
                <c:pt idx="24">
                  <c:v>-625.95000000000005</c:v>
                </c:pt>
                <c:pt idx="25">
                  <c:v>-159.94</c:v>
                </c:pt>
                <c:pt idx="26">
                  <c:v>-53.27</c:v>
                </c:pt>
                <c:pt idx="27">
                  <c:v>-38.979999999999997</c:v>
                </c:pt>
                <c:pt idx="28">
                  <c:v>-29.73</c:v>
                </c:pt>
                <c:pt idx="29">
                  <c:v>21.34</c:v>
                </c:pt>
                <c:pt idx="30">
                  <c:v>24.47</c:v>
                </c:pt>
                <c:pt idx="31">
                  <c:v>30.74</c:v>
                </c:pt>
                <c:pt idx="32">
                  <c:v>29.82</c:v>
                </c:pt>
                <c:pt idx="33">
                  <c:v>82.13</c:v>
                </c:pt>
                <c:pt idx="34">
                  <c:v>40.32</c:v>
                </c:pt>
                <c:pt idx="35">
                  <c:v>33.380000000000003</c:v>
                </c:pt>
                <c:pt idx="36">
                  <c:v>54.8</c:v>
                </c:pt>
                <c:pt idx="37">
                  <c:v>37.57</c:v>
                </c:pt>
                <c:pt idx="38">
                  <c:v>47.56</c:v>
                </c:pt>
                <c:pt idx="39">
                  <c:v>51.79</c:v>
                </c:pt>
                <c:pt idx="40">
                  <c:v>99.59</c:v>
                </c:pt>
                <c:pt idx="41">
                  <c:v>68.23</c:v>
                </c:pt>
                <c:pt idx="42">
                  <c:v>47.96</c:v>
                </c:pt>
                <c:pt idx="43">
                  <c:v>-41.66</c:v>
                </c:pt>
                <c:pt idx="44">
                  <c:v>-324.73</c:v>
                </c:pt>
                <c:pt idx="45">
                  <c:v>-101.57</c:v>
                </c:pt>
                <c:pt idx="46">
                  <c:v>-578.05999999999995</c:v>
                </c:pt>
                <c:pt idx="47">
                  <c:v>-894.07</c:v>
                </c:pt>
                <c:pt idx="48">
                  <c:v>-367.21</c:v>
                </c:pt>
                <c:pt idx="49">
                  <c:v>-32.46</c:v>
                </c:pt>
                <c:pt idx="50">
                  <c:v>26.5</c:v>
                </c:pt>
                <c:pt idx="51">
                  <c:v>38.520000000000003</c:v>
                </c:pt>
                <c:pt idx="52">
                  <c:v>53.33</c:v>
                </c:pt>
                <c:pt idx="53">
                  <c:v>39.86</c:v>
                </c:pt>
                <c:pt idx="54">
                  <c:v>31.82</c:v>
                </c:pt>
                <c:pt idx="55">
                  <c:v>26.25</c:v>
                </c:pt>
                <c:pt idx="56">
                  <c:v>89.13</c:v>
                </c:pt>
                <c:pt idx="57">
                  <c:v>25.1</c:v>
                </c:pt>
                <c:pt idx="58">
                  <c:v>47.15</c:v>
                </c:pt>
                <c:pt idx="59">
                  <c:v>94.47</c:v>
                </c:pt>
                <c:pt idx="60">
                  <c:v>40.1</c:v>
                </c:pt>
                <c:pt idx="61">
                  <c:v>46.96</c:v>
                </c:pt>
                <c:pt idx="62">
                  <c:v>66</c:v>
                </c:pt>
                <c:pt idx="63">
                  <c:v>53.19</c:v>
                </c:pt>
                <c:pt idx="64">
                  <c:v>38.32</c:v>
                </c:pt>
                <c:pt idx="65">
                  <c:v>76.88</c:v>
                </c:pt>
                <c:pt idx="66">
                  <c:v>49.29</c:v>
                </c:pt>
                <c:pt idx="67">
                  <c:v>36.51</c:v>
                </c:pt>
                <c:pt idx="68">
                  <c:v>-27.38</c:v>
                </c:pt>
                <c:pt idx="69">
                  <c:v>-47.95</c:v>
                </c:pt>
                <c:pt idx="70">
                  <c:v>-57.76</c:v>
                </c:pt>
                <c:pt idx="71">
                  <c:v>-44.43</c:v>
                </c:pt>
                <c:pt idx="72">
                  <c:v>37.770000000000003</c:v>
                </c:pt>
                <c:pt idx="73">
                  <c:v>39.61</c:v>
                </c:pt>
                <c:pt idx="74">
                  <c:v>40.54</c:v>
                </c:pt>
                <c:pt idx="75">
                  <c:v>22.76</c:v>
                </c:pt>
                <c:pt idx="76">
                  <c:v>36.51</c:v>
                </c:pt>
                <c:pt idx="77">
                  <c:v>21.69</c:v>
                </c:pt>
                <c:pt idx="78">
                  <c:v>54.61</c:v>
                </c:pt>
                <c:pt idx="79">
                  <c:v>50.31</c:v>
                </c:pt>
                <c:pt idx="80">
                  <c:v>48.62</c:v>
                </c:pt>
                <c:pt idx="81">
                  <c:v>64.84</c:v>
                </c:pt>
                <c:pt idx="82">
                  <c:v>58.47</c:v>
                </c:pt>
                <c:pt idx="83">
                  <c:v>34.46</c:v>
                </c:pt>
                <c:pt idx="84">
                  <c:v>68.13</c:v>
                </c:pt>
                <c:pt idx="85">
                  <c:v>48.55</c:v>
                </c:pt>
                <c:pt idx="86">
                  <c:v>49.27</c:v>
                </c:pt>
                <c:pt idx="87">
                  <c:v>48.25</c:v>
                </c:pt>
                <c:pt idx="88">
                  <c:v>37.32</c:v>
                </c:pt>
                <c:pt idx="89">
                  <c:v>65.12</c:v>
                </c:pt>
                <c:pt idx="90">
                  <c:v>25.5</c:v>
                </c:pt>
                <c:pt idx="91">
                  <c:v>69.38</c:v>
                </c:pt>
                <c:pt idx="92">
                  <c:v>-92.56</c:v>
                </c:pt>
                <c:pt idx="93">
                  <c:v>-35.380000000000003</c:v>
                </c:pt>
                <c:pt idx="94">
                  <c:v>-40.17</c:v>
                </c:pt>
                <c:pt idx="95">
                  <c:v>-26.55</c:v>
                </c:pt>
                <c:pt idx="96">
                  <c:v>30.28</c:v>
                </c:pt>
                <c:pt idx="97">
                  <c:v>43.04</c:v>
                </c:pt>
                <c:pt idx="98">
                  <c:v>112.12</c:v>
                </c:pt>
                <c:pt idx="99">
                  <c:v>59.38</c:v>
                </c:pt>
                <c:pt idx="100">
                  <c:v>63.23</c:v>
                </c:pt>
                <c:pt idx="101">
                  <c:v>46.97</c:v>
                </c:pt>
                <c:pt idx="102">
                  <c:v>35.33</c:v>
                </c:pt>
                <c:pt idx="103">
                  <c:v>47.64</c:v>
                </c:pt>
                <c:pt idx="104">
                  <c:v>50.65</c:v>
                </c:pt>
                <c:pt idx="105">
                  <c:v>230.31</c:v>
                </c:pt>
                <c:pt idx="106">
                  <c:v>40.69</c:v>
                </c:pt>
                <c:pt idx="107">
                  <c:v>48.31</c:v>
                </c:pt>
                <c:pt idx="108">
                  <c:v>47.32</c:v>
                </c:pt>
                <c:pt idx="109">
                  <c:v>27.34</c:v>
                </c:pt>
                <c:pt idx="110">
                  <c:v>13.3</c:v>
                </c:pt>
                <c:pt idx="111">
                  <c:v>40.35</c:v>
                </c:pt>
                <c:pt idx="112">
                  <c:v>73.28</c:v>
                </c:pt>
                <c:pt idx="113">
                  <c:v>32.729999999999997</c:v>
                </c:pt>
                <c:pt idx="114">
                  <c:v>27.45</c:v>
                </c:pt>
                <c:pt idx="115">
                  <c:v>13.65</c:v>
                </c:pt>
                <c:pt idx="116">
                  <c:v>22.6</c:v>
                </c:pt>
                <c:pt idx="117">
                  <c:v>29.35</c:v>
                </c:pt>
                <c:pt idx="118">
                  <c:v>45.18</c:v>
                </c:pt>
                <c:pt idx="119">
                  <c:v>53.48</c:v>
                </c:pt>
                <c:pt idx="120">
                  <c:v>44.71</c:v>
                </c:pt>
                <c:pt idx="121">
                  <c:v>62.53</c:v>
                </c:pt>
                <c:pt idx="122">
                  <c:v>38.630000000000003</c:v>
                </c:pt>
                <c:pt idx="123">
                  <c:v>75.8</c:v>
                </c:pt>
                <c:pt idx="124">
                  <c:v>46.5</c:v>
                </c:pt>
                <c:pt idx="125">
                  <c:v>36.42</c:v>
                </c:pt>
                <c:pt idx="126">
                  <c:v>53.63</c:v>
                </c:pt>
                <c:pt idx="127">
                  <c:v>39.96</c:v>
                </c:pt>
                <c:pt idx="128">
                  <c:v>63.73</c:v>
                </c:pt>
                <c:pt idx="129">
                  <c:v>93.35</c:v>
                </c:pt>
                <c:pt idx="130">
                  <c:v>41.2</c:v>
                </c:pt>
                <c:pt idx="131">
                  <c:v>54.41</c:v>
                </c:pt>
                <c:pt idx="132">
                  <c:v>170.41</c:v>
                </c:pt>
                <c:pt idx="133">
                  <c:v>47.61</c:v>
                </c:pt>
                <c:pt idx="134">
                  <c:v>55.91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FF-40F6-9B0B-5146DDBBC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061640"/>
        <c:axId val="574063440"/>
      </c:scatterChart>
      <c:valAx>
        <c:axId val="57406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4063440"/>
        <c:crosses val="autoZero"/>
        <c:crossBetween val="midCat"/>
        <c:majorUnit val="0.16666666666666669"/>
      </c:valAx>
      <c:valAx>
        <c:axId val="57406344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4061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'Dados Completos'!$T$1</c:f>
              <c:strCache>
                <c:ptCount val="1"/>
                <c:pt idx="0">
                  <c:v>Vbat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'Dados Completos'!$C$2:$C$146</c:f>
              <c:numCache>
                <c:formatCode>m/d/yyyy\ h:mm</c:formatCode>
                <c:ptCount val="14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  <c:pt idx="135">
                  <c:v>46108.379166666666</c:v>
                </c:pt>
                <c:pt idx="136">
                  <c:v>46108.42083333333</c:v>
                </c:pt>
                <c:pt idx="137">
                  <c:v>46108.462499942128</c:v>
                </c:pt>
                <c:pt idx="138">
                  <c:v>46108.504166608793</c:v>
                </c:pt>
                <c:pt idx="139">
                  <c:v>46108.545833275464</c:v>
                </c:pt>
                <c:pt idx="140">
                  <c:v>46108.587499942128</c:v>
                </c:pt>
                <c:pt idx="141">
                  <c:v>46108.629166608793</c:v>
                </c:pt>
                <c:pt idx="142">
                  <c:v>46108.670833275464</c:v>
                </c:pt>
                <c:pt idx="143">
                  <c:v>46108.712499942128</c:v>
                </c:pt>
                <c:pt idx="144">
                  <c:v>46108.754166608793</c:v>
                </c:pt>
              </c:numCache>
            </c:numRef>
          </c:xVal>
          <c:yVal>
            <c:numRef>
              <c:f>'Dados Completos'!$T$2:$T$146</c:f>
              <c:numCache>
                <c:formatCode>0.00</c:formatCode>
                <c:ptCount val="145"/>
                <c:pt idx="0">
                  <c:v>13.58</c:v>
                </c:pt>
                <c:pt idx="1">
                  <c:v>13.67</c:v>
                </c:pt>
                <c:pt idx="2">
                  <c:v>13.61</c:v>
                </c:pt>
                <c:pt idx="3">
                  <c:v>13.67</c:v>
                </c:pt>
                <c:pt idx="4">
                  <c:v>12.98</c:v>
                </c:pt>
                <c:pt idx="5">
                  <c:v>12.8</c:v>
                </c:pt>
                <c:pt idx="6">
                  <c:v>12.72</c:v>
                </c:pt>
                <c:pt idx="7">
                  <c:v>12.66</c:v>
                </c:pt>
                <c:pt idx="8">
                  <c:v>12.63</c:v>
                </c:pt>
                <c:pt idx="9">
                  <c:v>12.58</c:v>
                </c:pt>
                <c:pt idx="10">
                  <c:v>12.54</c:v>
                </c:pt>
                <c:pt idx="11">
                  <c:v>12.51</c:v>
                </c:pt>
                <c:pt idx="12">
                  <c:v>12.46</c:v>
                </c:pt>
                <c:pt idx="13">
                  <c:v>12.42</c:v>
                </c:pt>
                <c:pt idx="14">
                  <c:v>12.38</c:v>
                </c:pt>
                <c:pt idx="15">
                  <c:v>12.34</c:v>
                </c:pt>
                <c:pt idx="16">
                  <c:v>12.29</c:v>
                </c:pt>
                <c:pt idx="17">
                  <c:v>12.23</c:v>
                </c:pt>
                <c:pt idx="18">
                  <c:v>12.25</c:v>
                </c:pt>
                <c:pt idx="19">
                  <c:v>12.42</c:v>
                </c:pt>
                <c:pt idx="20">
                  <c:v>12.77</c:v>
                </c:pt>
                <c:pt idx="21">
                  <c:v>12.86</c:v>
                </c:pt>
                <c:pt idx="22">
                  <c:v>13.07</c:v>
                </c:pt>
                <c:pt idx="23">
                  <c:v>13.38</c:v>
                </c:pt>
                <c:pt idx="24">
                  <c:v>13.63</c:v>
                </c:pt>
                <c:pt idx="25">
                  <c:v>14.15</c:v>
                </c:pt>
                <c:pt idx="26">
                  <c:v>14.35</c:v>
                </c:pt>
                <c:pt idx="27">
                  <c:v>13.75</c:v>
                </c:pt>
                <c:pt idx="28">
                  <c:v>12.98</c:v>
                </c:pt>
                <c:pt idx="29">
                  <c:v>12.81</c:v>
                </c:pt>
                <c:pt idx="30">
                  <c:v>12.74</c:v>
                </c:pt>
                <c:pt idx="31">
                  <c:v>12.66</c:v>
                </c:pt>
                <c:pt idx="32">
                  <c:v>12.6</c:v>
                </c:pt>
                <c:pt idx="33">
                  <c:v>12.54</c:v>
                </c:pt>
                <c:pt idx="34">
                  <c:v>12.49</c:v>
                </c:pt>
                <c:pt idx="35">
                  <c:v>12.43</c:v>
                </c:pt>
                <c:pt idx="36">
                  <c:v>12.37</c:v>
                </c:pt>
                <c:pt idx="37">
                  <c:v>12.32</c:v>
                </c:pt>
                <c:pt idx="38">
                  <c:v>12.26</c:v>
                </c:pt>
                <c:pt idx="39">
                  <c:v>12.22</c:v>
                </c:pt>
                <c:pt idx="40">
                  <c:v>12.14</c:v>
                </c:pt>
                <c:pt idx="41">
                  <c:v>12.03</c:v>
                </c:pt>
                <c:pt idx="42">
                  <c:v>12.22</c:v>
                </c:pt>
                <c:pt idx="43">
                  <c:v>12.69</c:v>
                </c:pt>
                <c:pt idx="44">
                  <c:v>12.92</c:v>
                </c:pt>
                <c:pt idx="45">
                  <c:v>13.09</c:v>
                </c:pt>
                <c:pt idx="46">
                  <c:v>13.29</c:v>
                </c:pt>
                <c:pt idx="47">
                  <c:v>13.58</c:v>
                </c:pt>
                <c:pt idx="48">
                  <c:v>14.42</c:v>
                </c:pt>
                <c:pt idx="49">
                  <c:v>14.36</c:v>
                </c:pt>
                <c:pt idx="50">
                  <c:v>13.64</c:v>
                </c:pt>
                <c:pt idx="51">
                  <c:v>13.6</c:v>
                </c:pt>
                <c:pt idx="52">
                  <c:v>12.97</c:v>
                </c:pt>
                <c:pt idx="53">
                  <c:v>12.81</c:v>
                </c:pt>
                <c:pt idx="54">
                  <c:v>12.74</c:v>
                </c:pt>
                <c:pt idx="55">
                  <c:v>12.66</c:v>
                </c:pt>
                <c:pt idx="56">
                  <c:v>12.6</c:v>
                </c:pt>
                <c:pt idx="57">
                  <c:v>12.55</c:v>
                </c:pt>
                <c:pt idx="58">
                  <c:v>12.49</c:v>
                </c:pt>
                <c:pt idx="59">
                  <c:v>12.45</c:v>
                </c:pt>
                <c:pt idx="60">
                  <c:v>12.38</c:v>
                </c:pt>
                <c:pt idx="61">
                  <c:v>12.34</c:v>
                </c:pt>
                <c:pt idx="62">
                  <c:v>12.29</c:v>
                </c:pt>
                <c:pt idx="63">
                  <c:v>12.25</c:v>
                </c:pt>
                <c:pt idx="64">
                  <c:v>12.14</c:v>
                </c:pt>
                <c:pt idx="65">
                  <c:v>12.05</c:v>
                </c:pt>
                <c:pt idx="66">
                  <c:v>12.19</c:v>
                </c:pt>
                <c:pt idx="67">
                  <c:v>12.68</c:v>
                </c:pt>
                <c:pt idx="68">
                  <c:v>12.91</c:v>
                </c:pt>
                <c:pt idx="69">
                  <c:v>13.09</c:v>
                </c:pt>
                <c:pt idx="70">
                  <c:v>13.29</c:v>
                </c:pt>
                <c:pt idx="71">
                  <c:v>13.58</c:v>
                </c:pt>
                <c:pt idx="72">
                  <c:v>14.35</c:v>
                </c:pt>
                <c:pt idx="73">
                  <c:v>14.32</c:v>
                </c:pt>
                <c:pt idx="74">
                  <c:v>13.61</c:v>
                </c:pt>
                <c:pt idx="75">
                  <c:v>13.7</c:v>
                </c:pt>
                <c:pt idx="76">
                  <c:v>12.94</c:v>
                </c:pt>
                <c:pt idx="77">
                  <c:v>12.8</c:v>
                </c:pt>
                <c:pt idx="78">
                  <c:v>12.72</c:v>
                </c:pt>
                <c:pt idx="79">
                  <c:v>12.66</c:v>
                </c:pt>
                <c:pt idx="80">
                  <c:v>12.58</c:v>
                </c:pt>
                <c:pt idx="81">
                  <c:v>12.52</c:v>
                </c:pt>
                <c:pt idx="82">
                  <c:v>12.48</c:v>
                </c:pt>
                <c:pt idx="83">
                  <c:v>12.43</c:v>
                </c:pt>
                <c:pt idx="84">
                  <c:v>12.37</c:v>
                </c:pt>
                <c:pt idx="85">
                  <c:v>12.32</c:v>
                </c:pt>
                <c:pt idx="86">
                  <c:v>12.26</c:v>
                </c:pt>
                <c:pt idx="87">
                  <c:v>12.2</c:v>
                </c:pt>
                <c:pt idx="88">
                  <c:v>12.06</c:v>
                </c:pt>
                <c:pt idx="89">
                  <c:v>11.99</c:v>
                </c:pt>
                <c:pt idx="90">
                  <c:v>12.02</c:v>
                </c:pt>
                <c:pt idx="91" formatCode="General">
                  <c:v>12.75</c:v>
                </c:pt>
                <c:pt idx="92">
                  <c:v>12.84</c:v>
                </c:pt>
                <c:pt idx="93">
                  <c:v>13.07</c:v>
                </c:pt>
                <c:pt idx="94">
                  <c:v>13.27</c:v>
                </c:pt>
                <c:pt idx="95">
                  <c:v>13.5</c:v>
                </c:pt>
                <c:pt idx="96">
                  <c:v>13.97</c:v>
                </c:pt>
                <c:pt idx="97">
                  <c:v>13.95</c:v>
                </c:pt>
                <c:pt idx="98">
                  <c:v>13.1</c:v>
                </c:pt>
                <c:pt idx="99">
                  <c:v>13.09</c:v>
                </c:pt>
                <c:pt idx="100">
                  <c:v>12.86</c:v>
                </c:pt>
                <c:pt idx="101">
                  <c:v>12.74</c:v>
                </c:pt>
                <c:pt idx="102">
                  <c:v>12.66</c:v>
                </c:pt>
                <c:pt idx="103">
                  <c:v>12.6</c:v>
                </c:pt>
                <c:pt idx="104">
                  <c:v>12.52</c:v>
                </c:pt>
                <c:pt idx="105">
                  <c:v>12.48</c:v>
                </c:pt>
                <c:pt idx="106">
                  <c:v>12.42</c:v>
                </c:pt>
                <c:pt idx="107">
                  <c:v>12.35</c:v>
                </c:pt>
                <c:pt idx="108">
                  <c:v>12.29</c:v>
                </c:pt>
                <c:pt idx="109" formatCode="General">
                  <c:v>12.23</c:v>
                </c:pt>
                <c:pt idx="110">
                  <c:v>12.09</c:v>
                </c:pt>
                <c:pt idx="111">
                  <c:v>11.99</c:v>
                </c:pt>
                <c:pt idx="112">
                  <c:v>11.88</c:v>
                </c:pt>
                <c:pt idx="113">
                  <c:v>11.79</c:v>
                </c:pt>
                <c:pt idx="114">
                  <c:v>12.05</c:v>
                </c:pt>
                <c:pt idx="115">
                  <c:v>12.6</c:v>
                </c:pt>
                <c:pt idx="116">
                  <c:v>12.89</c:v>
                </c:pt>
                <c:pt idx="117">
                  <c:v>13.12</c:v>
                </c:pt>
                <c:pt idx="118">
                  <c:v>13.38</c:v>
                </c:pt>
                <c:pt idx="119">
                  <c:v>13.6</c:v>
                </c:pt>
                <c:pt idx="120">
                  <c:v>13.58</c:v>
                </c:pt>
                <c:pt idx="121">
                  <c:v>12.84</c:v>
                </c:pt>
                <c:pt idx="122">
                  <c:v>12.75</c:v>
                </c:pt>
                <c:pt idx="123">
                  <c:v>12.71</c:v>
                </c:pt>
                <c:pt idx="124">
                  <c:v>12.61</c:v>
                </c:pt>
                <c:pt idx="125">
                  <c:v>12.54</c:v>
                </c:pt>
                <c:pt idx="126">
                  <c:v>12.46</c:v>
                </c:pt>
                <c:pt idx="127">
                  <c:v>12.38</c:v>
                </c:pt>
                <c:pt idx="128">
                  <c:v>12.32</c:v>
                </c:pt>
                <c:pt idx="129">
                  <c:v>12.25</c:v>
                </c:pt>
                <c:pt idx="130">
                  <c:v>12.12</c:v>
                </c:pt>
                <c:pt idx="131">
                  <c:v>12.02</c:v>
                </c:pt>
                <c:pt idx="132">
                  <c:v>11.89</c:v>
                </c:pt>
                <c:pt idx="133">
                  <c:v>11.76</c:v>
                </c:pt>
                <c:pt idx="134">
                  <c:v>11.6</c:v>
                </c:pt>
                <c:pt idx="135">
                  <c:v>12.61</c:v>
                </c:pt>
                <c:pt idx="136">
                  <c:v>12.92</c:v>
                </c:pt>
                <c:pt idx="137">
                  <c:v>13.15</c:v>
                </c:pt>
                <c:pt idx="138">
                  <c:v>13.74</c:v>
                </c:pt>
                <c:pt idx="139">
                  <c:v>13.52</c:v>
                </c:pt>
                <c:pt idx="140">
                  <c:v>13.41</c:v>
                </c:pt>
                <c:pt idx="141">
                  <c:v>12.75</c:v>
                </c:pt>
                <c:pt idx="142">
                  <c:v>12.72</c:v>
                </c:pt>
                <c:pt idx="143">
                  <c:v>12.69</c:v>
                </c:pt>
                <c:pt idx="144">
                  <c:v>12.57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6-479D-9BFD-481B7C77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851104"/>
        <c:axId val="579851464"/>
      </c:scatterChart>
      <c:valAx>
        <c:axId val="57985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9851464"/>
        <c:crosses val="autoZero"/>
        <c:crossBetween val="midCat"/>
        <c:majorUnit val="0.16666666666666669"/>
      </c:valAx>
      <c:valAx>
        <c:axId val="579851464"/>
        <c:scaling>
          <c:orientation val="minMax"/>
          <c:max val="14.5"/>
          <c:min val="1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985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Completos'!$M$1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'Dados Completos'!$C$2:$C$1000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  <c:pt idx="135">
                  <c:v>46108.379166666666</c:v>
                </c:pt>
                <c:pt idx="136">
                  <c:v>46108.42083333333</c:v>
                </c:pt>
                <c:pt idx="137">
                  <c:v>46108.462499942128</c:v>
                </c:pt>
                <c:pt idx="138">
                  <c:v>46108.504166608793</c:v>
                </c:pt>
                <c:pt idx="139">
                  <c:v>46108.545833275464</c:v>
                </c:pt>
                <c:pt idx="140">
                  <c:v>46108.587499942128</c:v>
                </c:pt>
                <c:pt idx="141">
                  <c:v>46108.629166608793</c:v>
                </c:pt>
                <c:pt idx="142">
                  <c:v>46108.670833275464</c:v>
                </c:pt>
                <c:pt idx="143">
                  <c:v>46108.712499942128</c:v>
                </c:pt>
                <c:pt idx="144">
                  <c:v>46108.754166608793</c:v>
                </c:pt>
                <c:pt idx="145">
                  <c:v>46108.796527777777</c:v>
                </c:pt>
                <c:pt idx="146">
                  <c:v>46108.838194444441</c:v>
                </c:pt>
                <c:pt idx="147">
                  <c:v>46108.879861053239</c:v>
                </c:pt>
                <c:pt idx="148">
                  <c:v>46108.921527719911</c:v>
                </c:pt>
                <c:pt idx="149">
                  <c:v>46108.963194386575</c:v>
                </c:pt>
                <c:pt idx="150">
                  <c:v>46109.004861053239</c:v>
                </c:pt>
                <c:pt idx="151">
                  <c:v>46109.045833217591</c:v>
                </c:pt>
                <c:pt idx="152">
                  <c:v>46109.087499884263</c:v>
                </c:pt>
              </c:numCache>
            </c:numRef>
          </c:xVal>
          <c:yVal>
            <c:numRef>
              <c:f>'Dados Completos'!$M$2:$M$1000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409.4</c:v>
                </c:pt>
                <c:pt idx="3">
                  <c:v>229.7</c:v>
                </c:pt>
                <c:pt idx="4">
                  <c:v>227.7</c:v>
                </c:pt>
                <c:pt idx="5">
                  <c:v>172.8</c:v>
                </c:pt>
                <c:pt idx="6">
                  <c:v>153</c:v>
                </c:pt>
                <c:pt idx="7">
                  <c:v>156.6</c:v>
                </c:pt>
                <c:pt idx="8">
                  <c:v>160.19999999999999</c:v>
                </c:pt>
                <c:pt idx="9">
                  <c:v>127.8</c:v>
                </c:pt>
                <c:pt idx="10">
                  <c:v>155.30000000000001</c:v>
                </c:pt>
                <c:pt idx="11">
                  <c:v>120.3</c:v>
                </c:pt>
                <c:pt idx="12">
                  <c:v>107.1</c:v>
                </c:pt>
                <c:pt idx="13">
                  <c:v>105.9</c:v>
                </c:pt>
                <c:pt idx="14">
                  <c:v>114.1</c:v>
                </c:pt>
                <c:pt idx="15">
                  <c:v>163.4</c:v>
                </c:pt>
                <c:pt idx="16">
                  <c:v>104.5</c:v>
                </c:pt>
                <c:pt idx="17">
                  <c:v>137</c:v>
                </c:pt>
                <c:pt idx="18">
                  <c:v>105.4</c:v>
                </c:pt>
                <c:pt idx="19">
                  <c:v>106.6</c:v>
                </c:pt>
                <c:pt idx="20">
                  <c:v>111.7</c:v>
                </c:pt>
                <c:pt idx="21">
                  <c:v>181.5</c:v>
                </c:pt>
                <c:pt idx="22">
                  <c:v>337.4</c:v>
                </c:pt>
                <c:pt idx="23">
                  <c:v>804.7</c:v>
                </c:pt>
                <c:pt idx="24">
                  <c:v>1144</c:v>
                </c:pt>
                <c:pt idx="25">
                  <c:v>590.6</c:v>
                </c:pt>
                <c:pt idx="26">
                  <c:v>342.1</c:v>
                </c:pt>
                <c:pt idx="27">
                  <c:v>232.7</c:v>
                </c:pt>
                <c:pt idx="28">
                  <c:v>189.3</c:v>
                </c:pt>
                <c:pt idx="29">
                  <c:v>147.69999999999999</c:v>
                </c:pt>
                <c:pt idx="30">
                  <c:v>143.1</c:v>
                </c:pt>
                <c:pt idx="31">
                  <c:v>135.19999999999999</c:v>
                </c:pt>
                <c:pt idx="32">
                  <c:v>137.4</c:v>
                </c:pt>
                <c:pt idx="33">
                  <c:v>109</c:v>
                </c:pt>
                <c:pt idx="34">
                  <c:v>127.3</c:v>
                </c:pt>
                <c:pt idx="35">
                  <c:v>134.30000000000001</c:v>
                </c:pt>
                <c:pt idx="36">
                  <c:v>118.4</c:v>
                </c:pt>
                <c:pt idx="37">
                  <c:v>130.19999999999999</c:v>
                </c:pt>
                <c:pt idx="38">
                  <c:v>122.6</c:v>
                </c:pt>
                <c:pt idx="39">
                  <c:v>120.3</c:v>
                </c:pt>
                <c:pt idx="40">
                  <c:v>107.2</c:v>
                </c:pt>
                <c:pt idx="41">
                  <c:v>113.4</c:v>
                </c:pt>
                <c:pt idx="42">
                  <c:v>120.9</c:v>
                </c:pt>
                <c:pt idx="43">
                  <c:v>272.3</c:v>
                </c:pt>
                <c:pt idx="44">
                  <c:v>819.5</c:v>
                </c:pt>
                <c:pt idx="45">
                  <c:v>521.29999999999995</c:v>
                </c:pt>
                <c:pt idx="46">
                  <c:v>1081.9000000000001</c:v>
                </c:pt>
                <c:pt idx="47">
                  <c:v>1452.8</c:v>
                </c:pt>
                <c:pt idx="48">
                  <c:v>828.1</c:v>
                </c:pt>
                <c:pt idx="49">
                  <c:v>191.4</c:v>
                </c:pt>
                <c:pt idx="50">
                  <c:v>132</c:v>
                </c:pt>
                <c:pt idx="51">
                  <c:v>120.3</c:v>
                </c:pt>
                <c:pt idx="52">
                  <c:v>113.3</c:v>
                </c:pt>
                <c:pt idx="53">
                  <c:v>124.3</c:v>
                </c:pt>
                <c:pt idx="54">
                  <c:v>133.80000000000001</c:v>
                </c:pt>
                <c:pt idx="55">
                  <c:v>142.1</c:v>
                </c:pt>
                <c:pt idx="56">
                  <c:v>107.5</c:v>
                </c:pt>
                <c:pt idx="57">
                  <c:v>145.4</c:v>
                </c:pt>
                <c:pt idx="58">
                  <c:v>122.4</c:v>
                </c:pt>
                <c:pt idx="59">
                  <c:v>107.4</c:v>
                </c:pt>
                <c:pt idx="60">
                  <c:v>127.7</c:v>
                </c:pt>
                <c:pt idx="61">
                  <c:v>122.6</c:v>
                </c:pt>
                <c:pt idx="62">
                  <c:v>113.7</c:v>
                </c:pt>
                <c:pt idx="63">
                  <c:v>119.1</c:v>
                </c:pt>
                <c:pt idx="64">
                  <c:v>129.5</c:v>
                </c:pt>
                <c:pt idx="65">
                  <c:v>111</c:v>
                </c:pt>
                <c:pt idx="66">
                  <c:v>120.2</c:v>
                </c:pt>
                <c:pt idx="67">
                  <c:v>127.7</c:v>
                </c:pt>
                <c:pt idx="68">
                  <c:v>178.9</c:v>
                </c:pt>
                <c:pt idx="69">
                  <c:v>309.5</c:v>
                </c:pt>
                <c:pt idx="70">
                  <c:v>397.5</c:v>
                </c:pt>
                <c:pt idx="71">
                  <c:v>268.39999999999998</c:v>
                </c:pt>
                <c:pt idx="72">
                  <c:v>119.5</c:v>
                </c:pt>
                <c:pt idx="73">
                  <c:v>118.1</c:v>
                </c:pt>
                <c:pt idx="74">
                  <c:v>118.4</c:v>
                </c:pt>
                <c:pt idx="75">
                  <c:v>141.19999999999999</c:v>
                </c:pt>
                <c:pt idx="76">
                  <c:v>126.6</c:v>
                </c:pt>
                <c:pt idx="77">
                  <c:v>149.9</c:v>
                </c:pt>
                <c:pt idx="78">
                  <c:v>117.8</c:v>
                </c:pt>
                <c:pt idx="79">
                  <c:v>119.7</c:v>
                </c:pt>
                <c:pt idx="80">
                  <c:v>120.9</c:v>
                </c:pt>
                <c:pt idx="81">
                  <c:v>113.4</c:v>
                </c:pt>
                <c:pt idx="82">
                  <c:v>116</c:v>
                </c:pt>
                <c:pt idx="83">
                  <c:v>132.6</c:v>
                </c:pt>
                <c:pt idx="84">
                  <c:v>112.7</c:v>
                </c:pt>
                <c:pt idx="85">
                  <c:v>120.6</c:v>
                </c:pt>
                <c:pt idx="86">
                  <c:v>120.2</c:v>
                </c:pt>
                <c:pt idx="87">
                  <c:v>120.4</c:v>
                </c:pt>
                <c:pt idx="88">
                  <c:v>129.30000000000001</c:v>
                </c:pt>
                <c:pt idx="89">
                  <c:v>113.6</c:v>
                </c:pt>
                <c:pt idx="90">
                  <c:v>143.5</c:v>
                </c:pt>
                <c:pt idx="91">
                  <c:v>501.2</c:v>
                </c:pt>
                <c:pt idx="92">
                  <c:v>546</c:v>
                </c:pt>
                <c:pt idx="93">
                  <c:v>234.3</c:v>
                </c:pt>
                <c:pt idx="94">
                  <c:v>267.39999999999998</c:v>
                </c:pt>
                <c:pt idx="95">
                  <c:v>181.3</c:v>
                </c:pt>
                <c:pt idx="96">
                  <c:v>134.6</c:v>
                </c:pt>
                <c:pt idx="97">
                  <c:v>122.2</c:v>
                </c:pt>
                <c:pt idx="98">
                  <c:v>102.5</c:v>
                </c:pt>
                <c:pt idx="99">
                  <c:v>113.5</c:v>
                </c:pt>
                <c:pt idx="100">
                  <c:v>112.7</c:v>
                </c:pt>
                <c:pt idx="101">
                  <c:v>121.1</c:v>
                </c:pt>
                <c:pt idx="102">
                  <c:v>131.1</c:v>
                </c:pt>
                <c:pt idx="103">
                  <c:v>121.8</c:v>
                </c:pt>
                <c:pt idx="104">
                  <c:v>120.2</c:v>
                </c:pt>
                <c:pt idx="105">
                  <c:v>100.9</c:v>
                </c:pt>
                <c:pt idx="106">
                  <c:v>127.3</c:v>
                </c:pt>
                <c:pt idx="107">
                  <c:v>121.9</c:v>
                </c:pt>
                <c:pt idx="108">
                  <c:v>122.6</c:v>
                </c:pt>
                <c:pt idx="109">
                  <c:v>142.30000000000001</c:v>
                </c:pt>
                <c:pt idx="110">
                  <c:v>177</c:v>
                </c:pt>
                <c:pt idx="111">
                  <c:v>126.7</c:v>
                </c:pt>
                <c:pt idx="112">
                  <c:v>110.8</c:v>
                </c:pt>
                <c:pt idx="113">
                  <c:v>134.6</c:v>
                </c:pt>
                <c:pt idx="114">
                  <c:v>142.6</c:v>
                </c:pt>
                <c:pt idx="115">
                  <c:v>176.5</c:v>
                </c:pt>
                <c:pt idx="116">
                  <c:v>150.80000000000001</c:v>
                </c:pt>
                <c:pt idx="117">
                  <c:v>139.30000000000001</c:v>
                </c:pt>
                <c:pt idx="118">
                  <c:v>124</c:v>
                </c:pt>
                <c:pt idx="119">
                  <c:v>119.4</c:v>
                </c:pt>
                <c:pt idx="120">
                  <c:v>124.2</c:v>
                </c:pt>
                <c:pt idx="121">
                  <c:v>114.9</c:v>
                </c:pt>
                <c:pt idx="122">
                  <c:v>129</c:v>
                </c:pt>
                <c:pt idx="123">
                  <c:v>112</c:v>
                </c:pt>
                <c:pt idx="124">
                  <c:v>124.3</c:v>
                </c:pt>
                <c:pt idx="125">
                  <c:v>130.9</c:v>
                </c:pt>
                <c:pt idx="126">
                  <c:v>119</c:v>
                </c:pt>
                <c:pt idx="127">
                  <c:v>128.1</c:v>
                </c:pt>
                <c:pt idx="128">
                  <c:v>114.7</c:v>
                </c:pt>
                <c:pt idx="129">
                  <c:v>108.2</c:v>
                </c:pt>
                <c:pt idx="130">
                  <c:v>128.6</c:v>
                </c:pt>
                <c:pt idx="131">
                  <c:v>120.6</c:v>
                </c:pt>
                <c:pt idx="132">
                  <c:v>104.3</c:v>
                </c:pt>
                <c:pt idx="133">
                  <c:v>124.8</c:v>
                </c:pt>
                <c:pt idx="134">
                  <c:v>120.1</c:v>
                </c:pt>
                <c:pt idx="135">
                  <c:v>122.8</c:v>
                </c:pt>
                <c:pt idx="136">
                  <c:v>132.1</c:v>
                </c:pt>
                <c:pt idx="137">
                  <c:v>127.3</c:v>
                </c:pt>
                <c:pt idx="138">
                  <c:v>134.5</c:v>
                </c:pt>
                <c:pt idx="139">
                  <c:v>118.2</c:v>
                </c:pt>
                <c:pt idx="140">
                  <c:v>121.5</c:v>
                </c:pt>
                <c:pt idx="141">
                  <c:v>108.8</c:v>
                </c:pt>
                <c:pt idx="142">
                  <c:v>142.9</c:v>
                </c:pt>
                <c:pt idx="143">
                  <c:v>126.8</c:v>
                </c:pt>
                <c:pt idx="144">
                  <c:v>121</c:v>
                </c:pt>
                <c:pt idx="145">
                  <c:v>115.9</c:v>
                </c:pt>
                <c:pt idx="146">
                  <c:v>115.8</c:v>
                </c:pt>
                <c:pt idx="147">
                  <c:v>109.8</c:v>
                </c:pt>
                <c:pt idx="148">
                  <c:v>115.6</c:v>
                </c:pt>
                <c:pt idx="149">
                  <c:v>111.8</c:v>
                </c:pt>
                <c:pt idx="150">
                  <c:v>126.1</c:v>
                </c:pt>
                <c:pt idx="151">
                  <c:v>119.8</c:v>
                </c:pt>
                <c:pt idx="152">
                  <c:v>133.6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99-452D-B2A3-762019F4D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964112"/>
        <c:axId val="741964592"/>
      </c:scatterChart>
      <c:scatterChart>
        <c:scatterStyle val="lineMarker"/>
        <c:varyColors val="0"/>
        <c:ser>
          <c:idx val="1"/>
          <c:order val="1"/>
          <c:tx>
            <c:strRef>
              <c:f>'Dados Completos'!$T$1</c:f>
              <c:strCache>
                <c:ptCount val="1"/>
                <c:pt idx="0">
                  <c:v>Vbat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'Dados Completos'!$C$2:$C$1000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  <c:pt idx="135">
                  <c:v>46108.379166666666</c:v>
                </c:pt>
                <c:pt idx="136">
                  <c:v>46108.42083333333</c:v>
                </c:pt>
                <c:pt idx="137">
                  <c:v>46108.462499942128</c:v>
                </c:pt>
                <c:pt idx="138">
                  <c:v>46108.504166608793</c:v>
                </c:pt>
                <c:pt idx="139">
                  <c:v>46108.545833275464</c:v>
                </c:pt>
                <c:pt idx="140">
                  <c:v>46108.587499942128</c:v>
                </c:pt>
                <c:pt idx="141">
                  <c:v>46108.629166608793</c:v>
                </c:pt>
                <c:pt idx="142">
                  <c:v>46108.670833275464</c:v>
                </c:pt>
                <c:pt idx="143">
                  <c:v>46108.712499942128</c:v>
                </c:pt>
                <c:pt idx="144">
                  <c:v>46108.754166608793</c:v>
                </c:pt>
                <c:pt idx="145">
                  <c:v>46108.796527777777</c:v>
                </c:pt>
                <c:pt idx="146">
                  <c:v>46108.838194444441</c:v>
                </c:pt>
                <c:pt idx="147">
                  <c:v>46108.879861053239</c:v>
                </c:pt>
                <c:pt idx="148">
                  <c:v>46108.921527719911</c:v>
                </c:pt>
                <c:pt idx="149">
                  <c:v>46108.963194386575</c:v>
                </c:pt>
                <c:pt idx="150">
                  <c:v>46109.004861053239</c:v>
                </c:pt>
                <c:pt idx="151">
                  <c:v>46109.045833217591</c:v>
                </c:pt>
                <c:pt idx="152">
                  <c:v>46109.087499884263</c:v>
                </c:pt>
              </c:numCache>
            </c:numRef>
          </c:xVal>
          <c:yVal>
            <c:numRef>
              <c:f>'Dados Completos'!$T$2:$T$1000</c:f>
              <c:numCache>
                <c:formatCode>0.00</c:formatCode>
                <c:ptCount val="999"/>
                <c:pt idx="0">
                  <c:v>13.58</c:v>
                </c:pt>
                <c:pt idx="1">
                  <c:v>13.67</c:v>
                </c:pt>
                <c:pt idx="2">
                  <c:v>13.61</c:v>
                </c:pt>
                <c:pt idx="3">
                  <c:v>13.67</c:v>
                </c:pt>
                <c:pt idx="4">
                  <c:v>12.98</c:v>
                </c:pt>
                <c:pt idx="5">
                  <c:v>12.8</c:v>
                </c:pt>
                <c:pt idx="6">
                  <c:v>12.72</c:v>
                </c:pt>
                <c:pt idx="7">
                  <c:v>12.66</c:v>
                </c:pt>
                <c:pt idx="8">
                  <c:v>12.63</c:v>
                </c:pt>
                <c:pt idx="9">
                  <c:v>12.58</c:v>
                </c:pt>
                <c:pt idx="10">
                  <c:v>12.54</c:v>
                </c:pt>
                <c:pt idx="11">
                  <c:v>12.51</c:v>
                </c:pt>
                <c:pt idx="12">
                  <c:v>12.46</c:v>
                </c:pt>
                <c:pt idx="13">
                  <c:v>12.42</c:v>
                </c:pt>
                <c:pt idx="14">
                  <c:v>12.38</c:v>
                </c:pt>
                <c:pt idx="15">
                  <c:v>12.34</c:v>
                </c:pt>
                <c:pt idx="16">
                  <c:v>12.29</c:v>
                </c:pt>
                <c:pt idx="17">
                  <c:v>12.23</c:v>
                </c:pt>
                <c:pt idx="18">
                  <c:v>12.25</c:v>
                </c:pt>
                <c:pt idx="19">
                  <c:v>12.42</c:v>
                </c:pt>
                <c:pt idx="20">
                  <c:v>12.77</c:v>
                </c:pt>
                <c:pt idx="21">
                  <c:v>12.86</c:v>
                </c:pt>
                <c:pt idx="22">
                  <c:v>13.07</c:v>
                </c:pt>
                <c:pt idx="23">
                  <c:v>13.38</c:v>
                </c:pt>
                <c:pt idx="24">
                  <c:v>13.63</c:v>
                </c:pt>
                <c:pt idx="25">
                  <c:v>14.15</c:v>
                </c:pt>
                <c:pt idx="26">
                  <c:v>14.35</c:v>
                </c:pt>
                <c:pt idx="27">
                  <c:v>13.75</c:v>
                </c:pt>
                <c:pt idx="28">
                  <c:v>12.98</c:v>
                </c:pt>
                <c:pt idx="29">
                  <c:v>12.81</c:v>
                </c:pt>
                <c:pt idx="30">
                  <c:v>12.74</c:v>
                </c:pt>
                <c:pt idx="31">
                  <c:v>12.66</c:v>
                </c:pt>
                <c:pt idx="32">
                  <c:v>12.6</c:v>
                </c:pt>
                <c:pt idx="33">
                  <c:v>12.54</c:v>
                </c:pt>
                <c:pt idx="34">
                  <c:v>12.49</c:v>
                </c:pt>
                <c:pt idx="35">
                  <c:v>12.43</c:v>
                </c:pt>
                <c:pt idx="36">
                  <c:v>12.37</c:v>
                </c:pt>
                <c:pt idx="37">
                  <c:v>12.32</c:v>
                </c:pt>
                <c:pt idx="38">
                  <c:v>12.26</c:v>
                </c:pt>
                <c:pt idx="39">
                  <c:v>12.22</c:v>
                </c:pt>
                <c:pt idx="40">
                  <c:v>12.14</c:v>
                </c:pt>
                <c:pt idx="41">
                  <c:v>12.03</c:v>
                </c:pt>
                <c:pt idx="42">
                  <c:v>12.22</c:v>
                </c:pt>
                <c:pt idx="43">
                  <c:v>12.69</c:v>
                </c:pt>
                <c:pt idx="44">
                  <c:v>12.92</c:v>
                </c:pt>
                <c:pt idx="45">
                  <c:v>13.09</c:v>
                </c:pt>
                <c:pt idx="46">
                  <c:v>13.29</c:v>
                </c:pt>
                <c:pt idx="47">
                  <c:v>13.58</c:v>
                </c:pt>
                <c:pt idx="48">
                  <c:v>14.42</c:v>
                </c:pt>
                <c:pt idx="49">
                  <c:v>14.36</c:v>
                </c:pt>
                <c:pt idx="50">
                  <c:v>13.64</c:v>
                </c:pt>
                <c:pt idx="51">
                  <c:v>13.6</c:v>
                </c:pt>
                <c:pt idx="52">
                  <c:v>12.97</c:v>
                </c:pt>
                <c:pt idx="53">
                  <c:v>12.81</c:v>
                </c:pt>
                <c:pt idx="54">
                  <c:v>12.74</c:v>
                </c:pt>
                <c:pt idx="55">
                  <c:v>12.66</c:v>
                </c:pt>
                <c:pt idx="56">
                  <c:v>12.6</c:v>
                </c:pt>
                <c:pt idx="57">
                  <c:v>12.55</c:v>
                </c:pt>
                <c:pt idx="58">
                  <c:v>12.49</c:v>
                </c:pt>
                <c:pt idx="59">
                  <c:v>12.45</c:v>
                </c:pt>
                <c:pt idx="60">
                  <c:v>12.38</c:v>
                </c:pt>
                <c:pt idx="61">
                  <c:v>12.34</c:v>
                </c:pt>
                <c:pt idx="62">
                  <c:v>12.29</c:v>
                </c:pt>
                <c:pt idx="63">
                  <c:v>12.25</c:v>
                </c:pt>
                <c:pt idx="64">
                  <c:v>12.14</c:v>
                </c:pt>
                <c:pt idx="65">
                  <c:v>12.05</c:v>
                </c:pt>
                <c:pt idx="66">
                  <c:v>12.19</c:v>
                </c:pt>
                <c:pt idx="67">
                  <c:v>12.68</c:v>
                </c:pt>
                <c:pt idx="68">
                  <c:v>12.91</c:v>
                </c:pt>
                <c:pt idx="69">
                  <c:v>13.09</c:v>
                </c:pt>
                <c:pt idx="70">
                  <c:v>13.29</c:v>
                </c:pt>
                <c:pt idx="71">
                  <c:v>13.58</c:v>
                </c:pt>
                <c:pt idx="72">
                  <c:v>14.35</c:v>
                </c:pt>
                <c:pt idx="73">
                  <c:v>14.32</c:v>
                </c:pt>
                <c:pt idx="74">
                  <c:v>13.61</c:v>
                </c:pt>
                <c:pt idx="75">
                  <c:v>13.7</c:v>
                </c:pt>
                <c:pt idx="76">
                  <c:v>12.94</c:v>
                </c:pt>
                <c:pt idx="77">
                  <c:v>12.8</c:v>
                </c:pt>
                <c:pt idx="78">
                  <c:v>12.72</c:v>
                </c:pt>
                <c:pt idx="79">
                  <c:v>12.66</c:v>
                </c:pt>
                <c:pt idx="80">
                  <c:v>12.58</c:v>
                </c:pt>
                <c:pt idx="81">
                  <c:v>12.52</c:v>
                </c:pt>
                <c:pt idx="82">
                  <c:v>12.48</c:v>
                </c:pt>
                <c:pt idx="83">
                  <c:v>12.43</c:v>
                </c:pt>
                <c:pt idx="84">
                  <c:v>12.37</c:v>
                </c:pt>
                <c:pt idx="85">
                  <c:v>12.32</c:v>
                </c:pt>
                <c:pt idx="86">
                  <c:v>12.26</c:v>
                </c:pt>
                <c:pt idx="87">
                  <c:v>12.2</c:v>
                </c:pt>
                <c:pt idx="88">
                  <c:v>12.06</c:v>
                </c:pt>
                <c:pt idx="89">
                  <c:v>11.99</c:v>
                </c:pt>
                <c:pt idx="90">
                  <c:v>12.02</c:v>
                </c:pt>
                <c:pt idx="91" formatCode="General">
                  <c:v>12.75</c:v>
                </c:pt>
                <c:pt idx="92">
                  <c:v>12.84</c:v>
                </c:pt>
                <c:pt idx="93">
                  <c:v>13.07</c:v>
                </c:pt>
                <c:pt idx="94">
                  <c:v>13.27</c:v>
                </c:pt>
                <c:pt idx="95">
                  <c:v>13.5</c:v>
                </c:pt>
                <c:pt idx="96">
                  <c:v>13.97</c:v>
                </c:pt>
                <c:pt idx="97">
                  <c:v>13.95</c:v>
                </c:pt>
                <c:pt idx="98">
                  <c:v>13.1</c:v>
                </c:pt>
                <c:pt idx="99">
                  <c:v>13.09</c:v>
                </c:pt>
                <c:pt idx="100">
                  <c:v>12.86</c:v>
                </c:pt>
                <c:pt idx="101">
                  <c:v>12.74</c:v>
                </c:pt>
                <c:pt idx="102">
                  <c:v>12.66</c:v>
                </c:pt>
                <c:pt idx="103">
                  <c:v>12.6</c:v>
                </c:pt>
                <c:pt idx="104">
                  <c:v>12.52</c:v>
                </c:pt>
                <c:pt idx="105">
                  <c:v>12.48</c:v>
                </c:pt>
                <c:pt idx="106">
                  <c:v>12.42</c:v>
                </c:pt>
                <c:pt idx="107">
                  <c:v>12.35</c:v>
                </c:pt>
                <c:pt idx="108">
                  <c:v>12.29</c:v>
                </c:pt>
                <c:pt idx="109" formatCode="General">
                  <c:v>12.23</c:v>
                </c:pt>
                <c:pt idx="110">
                  <c:v>12.09</c:v>
                </c:pt>
                <c:pt idx="111">
                  <c:v>11.99</c:v>
                </c:pt>
                <c:pt idx="112">
                  <c:v>11.88</c:v>
                </c:pt>
                <c:pt idx="113">
                  <c:v>11.79</c:v>
                </c:pt>
                <c:pt idx="114">
                  <c:v>12.05</c:v>
                </c:pt>
                <c:pt idx="115">
                  <c:v>12.6</c:v>
                </c:pt>
                <c:pt idx="116">
                  <c:v>12.89</c:v>
                </c:pt>
                <c:pt idx="117">
                  <c:v>13.12</c:v>
                </c:pt>
                <c:pt idx="118">
                  <c:v>13.38</c:v>
                </c:pt>
                <c:pt idx="119">
                  <c:v>13.6</c:v>
                </c:pt>
                <c:pt idx="120">
                  <c:v>13.58</c:v>
                </c:pt>
                <c:pt idx="121">
                  <c:v>12.84</c:v>
                </c:pt>
                <c:pt idx="122">
                  <c:v>12.75</c:v>
                </c:pt>
                <c:pt idx="123">
                  <c:v>12.71</c:v>
                </c:pt>
                <c:pt idx="124">
                  <c:v>12.61</c:v>
                </c:pt>
                <c:pt idx="125">
                  <c:v>12.54</c:v>
                </c:pt>
                <c:pt idx="126">
                  <c:v>12.46</c:v>
                </c:pt>
                <c:pt idx="127">
                  <c:v>12.38</c:v>
                </c:pt>
                <c:pt idx="128">
                  <c:v>12.32</c:v>
                </c:pt>
                <c:pt idx="129">
                  <c:v>12.25</c:v>
                </c:pt>
                <c:pt idx="130">
                  <c:v>12.12</c:v>
                </c:pt>
                <c:pt idx="131">
                  <c:v>12.02</c:v>
                </c:pt>
                <c:pt idx="132">
                  <c:v>11.89</c:v>
                </c:pt>
                <c:pt idx="133">
                  <c:v>11.76</c:v>
                </c:pt>
                <c:pt idx="134">
                  <c:v>11.6</c:v>
                </c:pt>
                <c:pt idx="135">
                  <c:v>12.61</c:v>
                </c:pt>
                <c:pt idx="136">
                  <c:v>12.92</c:v>
                </c:pt>
                <c:pt idx="137">
                  <c:v>13.15</c:v>
                </c:pt>
                <c:pt idx="138">
                  <c:v>13.74</c:v>
                </c:pt>
                <c:pt idx="139">
                  <c:v>13.52</c:v>
                </c:pt>
                <c:pt idx="140">
                  <c:v>13.41</c:v>
                </c:pt>
                <c:pt idx="141">
                  <c:v>12.75</c:v>
                </c:pt>
                <c:pt idx="142">
                  <c:v>12.72</c:v>
                </c:pt>
                <c:pt idx="143">
                  <c:v>12.69</c:v>
                </c:pt>
                <c:pt idx="144">
                  <c:v>12.57</c:v>
                </c:pt>
                <c:pt idx="145">
                  <c:v>12.48</c:v>
                </c:pt>
                <c:pt idx="146">
                  <c:v>12.38</c:v>
                </c:pt>
                <c:pt idx="147">
                  <c:v>12.32</c:v>
                </c:pt>
                <c:pt idx="148">
                  <c:v>12.23</c:v>
                </c:pt>
                <c:pt idx="149">
                  <c:v>12.09</c:v>
                </c:pt>
                <c:pt idx="150">
                  <c:v>11.99</c:v>
                </c:pt>
                <c:pt idx="151">
                  <c:v>11.85</c:v>
                </c:pt>
                <c:pt idx="152">
                  <c:v>11.68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99-452D-B2A3-762019F4D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228928"/>
        <c:axId val="966227008"/>
      </c:scatterChart>
      <c:valAx>
        <c:axId val="741964112"/>
        <c:scaling>
          <c:orientation val="minMax"/>
          <c:max val="461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1964592"/>
        <c:crosses val="autoZero"/>
        <c:crossBetween val="midCat"/>
      </c:valAx>
      <c:valAx>
        <c:axId val="7419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1964112"/>
        <c:crosses val="autoZero"/>
        <c:crossBetween val="midCat"/>
        <c:minorUnit val="0.1"/>
      </c:valAx>
      <c:valAx>
        <c:axId val="966227008"/>
        <c:scaling>
          <c:orientation val="minMax"/>
          <c:max val="15"/>
          <c:min val="1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6228928"/>
        <c:crosses val="max"/>
        <c:crossBetween val="midCat"/>
        <c:majorUnit val="0.2"/>
      </c:valAx>
      <c:valAx>
        <c:axId val="966228928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96622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Diferentes</a:t>
            </a:r>
            <a:r>
              <a:rPr lang="pt-PT" baseline="0"/>
              <a:t> médias móveis N0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'Diferentes médias móveis'!$D$1</c:f>
              <c:strCache>
                <c:ptCount val="1"/>
                <c:pt idx="0">
                  <c:v>N0_4h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móveis'!$D$2:$D$1000</c:f>
              <c:numCache>
                <c:formatCode>General</c:formatCode>
                <c:ptCount val="999"/>
                <c:pt idx="3">
                  <c:v>22.458246927837244</c:v>
                </c:pt>
                <c:pt idx="4">
                  <c:v>6.2484976569603434</c:v>
                </c:pt>
                <c:pt idx="5">
                  <c:v>1.5287841913909874</c:v>
                </c:pt>
                <c:pt idx="6">
                  <c:v>10.020022820813999</c:v>
                </c:pt>
                <c:pt idx="7">
                  <c:v>14.931169308633502</c:v>
                </c:pt>
                <c:pt idx="8">
                  <c:v>21.98812496032912</c:v>
                </c:pt>
                <c:pt idx="9">
                  <c:v>29.239603182023711</c:v>
                </c:pt>
                <c:pt idx="10">
                  <c:v>28.793651644966616</c:v>
                </c:pt>
                <c:pt idx="11">
                  <c:v>37.20869022066757</c:v>
                </c:pt>
                <c:pt idx="12">
                  <c:v>58.63463071146068</c:v>
                </c:pt>
                <c:pt idx="13">
                  <c:v>74.178314421952805</c:v>
                </c:pt>
                <c:pt idx="14">
                  <c:v>135.44620102826789</c:v>
                </c:pt>
                <c:pt idx="15">
                  <c:v>72.561982500267803</c:v>
                </c:pt>
                <c:pt idx="16">
                  <c:v>74.789585352584822</c:v>
                </c:pt>
                <c:pt idx="17">
                  <c:v>54.02104431034477</c:v>
                </c:pt>
                <c:pt idx="18">
                  <c:v>58.751022292040133</c:v>
                </c:pt>
                <c:pt idx="19">
                  <c:v>121.37773279085229</c:v>
                </c:pt>
                <c:pt idx="20">
                  <c:v>107.88664800178826</c:v>
                </c:pt>
                <c:pt idx="21">
                  <c:v>61.855301217178429</c:v>
                </c:pt>
                <c:pt idx="22">
                  <c:v>12.86941382823883</c:v>
                </c:pt>
                <c:pt idx="23">
                  <c:v>-3.4022690450194739</c:v>
                </c:pt>
                <c:pt idx="24">
                  <c:v>-7.4253836361949448</c:v>
                </c:pt>
                <c:pt idx="25">
                  <c:v>-8.0956621074446904</c:v>
                </c:pt>
                <c:pt idx="26">
                  <c:v>-8.1020838011579741</c:v>
                </c:pt>
                <c:pt idx="27">
                  <c:v>-7.089584882939171</c:v>
                </c:pt>
                <c:pt idx="28">
                  <c:v>-2.7258600917538818</c:v>
                </c:pt>
                <c:pt idx="29">
                  <c:v>4.7184985902602739</c:v>
                </c:pt>
                <c:pt idx="30">
                  <c:v>14.710237875148424</c:v>
                </c:pt>
                <c:pt idx="31">
                  <c:v>26.042072556848382</c:v>
                </c:pt>
                <c:pt idx="32">
                  <c:v>37.264801389326799</c:v>
                </c:pt>
                <c:pt idx="33">
                  <c:v>51.252856369535792</c:v>
                </c:pt>
                <c:pt idx="34">
                  <c:v>59.576707285832867</c:v>
                </c:pt>
                <c:pt idx="35">
                  <c:v>60.117832022052617</c:v>
                </c:pt>
                <c:pt idx="36">
                  <c:v>73.832889423966179</c:v>
                </c:pt>
                <c:pt idx="37">
                  <c:v>58.809363070442224</c:v>
                </c:pt>
                <c:pt idx="38">
                  <c:v>61.665121907258055</c:v>
                </c:pt>
                <c:pt idx="39">
                  <c:v>71.735535866428052</c:v>
                </c:pt>
                <c:pt idx="40">
                  <c:v>82.034806275384554</c:v>
                </c:pt>
                <c:pt idx="41">
                  <c:v>103.35184753154721</c:v>
                </c:pt>
                <c:pt idx="42">
                  <c:v>106.06306410764812</c:v>
                </c:pt>
                <c:pt idx="43">
                  <c:v>26.293453580651434</c:v>
                </c:pt>
                <c:pt idx="44">
                  <c:v>-2.4578515547450581</c:v>
                </c:pt>
                <c:pt idx="45">
                  <c:v>-5.2016778572325357</c:v>
                </c:pt>
                <c:pt idx="46">
                  <c:v>-7.8273278275422049</c:v>
                </c:pt>
                <c:pt idx="47">
                  <c:v>-9.0711442482944697</c:v>
                </c:pt>
                <c:pt idx="48">
                  <c:v>-9.077122003514388</c:v>
                </c:pt>
                <c:pt idx="49">
                  <c:v>-8.8245295141264268</c:v>
                </c:pt>
                <c:pt idx="50">
                  <c:v>-7.6769060093332717</c:v>
                </c:pt>
                <c:pt idx="51">
                  <c:v>-1.9011845078064928</c:v>
                </c:pt>
                <c:pt idx="52">
                  <c:v>39.131229712964988</c:v>
                </c:pt>
                <c:pt idx="53">
                  <c:v>73.065775258296668</c:v>
                </c:pt>
                <c:pt idx="54">
                  <c:v>71.572192742661869</c:v>
                </c:pt>
                <c:pt idx="55">
                  <c:v>56.933915616372865</c:v>
                </c:pt>
                <c:pt idx="56">
                  <c:v>60.300042578245396</c:v>
                </c:pt>
                <c:pt idx="57">
                  <c:v>49.40207196740063</c:v>
                </c:pt>
                <c:pt idx="58">
                  <c:v>54.842528520946686</c:v>
                </c:pt>
                <c:pt idx="59">
                  <c:v>79.618795482524533</c:v>
                </c:pt>
                <c:pt idx="60">
                  <c:v>63.346856354207773</c:v>
                </c:pt>
                <c:pt idx="61">
                  <c:v>82.241936547137684</c:v>
                </c:pt>
                <c:pt idx="62">
                  <c:v>92.234649818593866</c:v>
                </c:pt>
                <c:pt idx="63">
                  <c:v>79.228209450121156</c:v>
                </c:pt>
                <c:pt idx="64">
                  <c:v>77.511226286685257</c:v>
                </c:pt>
                <c:pt idx="65">
                  <c:v>89.874643353706006</c:v>
                </c:pt>
                <c:pt idx="66">
                  <c:v>82.554357753587638</c:v>
                </c:pt>
                <c:pt idx="67">
                  <c:v>74.352077750396688</c:v>
                </c:pt>
                <c:pt idx="68">
                  <c:v>45.698941792271818</c:v>
                </c:pt>
                <c:pt idx="69">
                  <c:v>12.932708275141398</c:v>
                </c:pt>
                <c:pt idx="70">
                  <c:v>2.0718112317731117</c:v>
                </c:pt>
                <c:pt idx="71">
                  <c:v>-0.4259212544606969</c:v>
                </c:pt>
                <c:pt idx="72">
                  <c:v>0.50697666870596347</c:v>
                </c:pt>
                <c:pt idx="73">
                  <c:v>4.9805379505797154</c:v>
                </c:pt>
                <c:pt idx="74">
                  <c:v>24.585929832753838</c:v>
                </c:pt>
                <c:pt idx="75">
                  <c:v>67.318622479661656</c:v>
                </c:pt>
                <c:pt idx="76">
                  <c:v>62.431817802856756</c:v>
                </c:pt>
                <c:pt idx="77">
                  <c:v>46.363523213781413</c:v>
                </c:pt>
                <c:pt idx="78">
                  <c:v>46.601783684941168</c:v>
                </c:pt>
                <c:pt idx="79">
                  <c:v>56.658449931114532</c:v>
                </c:pt>
                <c:pt idx="80">
                  <c:v>59.936543934533468</c:v>
                </c:pt>
                <c:pt idx="81">
                  <c:v>91.728719409611628</c:v>
                </c:pt>
                <c:pt idx="82">
                  <c:v>94.045141503398952</c:v>
                </c:pt>
                <c:pt idx="83">
                  <c:v>79.423082999835799</c:v>
                </c:pt>
                <c:pt idx="84">
                  <c:v>88.203271096262</c:v>
                </c:pt>
                <c:pt idx="85">
                  <c:v>80.410144032503837</c:v>
                </c:pt>
                <c:pt idx="86">
                  <c:v>76.402224355447672</c:v>
                </c:pt>
                <c:pt idx="87">
                  <c:v>89.151528353239769</c:v>
                </c:pt>
                <c:pt idx="88">
                  <c:v>72.561982500267746</c:v>
                </c:pt>
                <c:pt idx="89">
                  <c:v>78.840957664899506</c:v>
                </c:pt>
                <c:pt idx="90">
                  <c:v>60.852280008925497</c:v>
                </c:pt>
                <c:pt idx="91">
                  <c:v>5.5069193912587036</c:v>
                </c:pt>
                <c:pt idx="92">
                  <c:v>-2.2423068718036414</c:v>
                </c:pt>
                <c:pt idx="93">
                  <c:v>-3.3216996633646372</c:v>
                </c:pt>
                <c:pt idx="94">
                  <c:v>-4.1958937258170002</c:v>
                </c:pt>
                <c:pt idx="95">
                  <c:v>-1.411644491362446</c:v>
                </c:pt>
                <c:pt idx="96">
                  <c:v>8.2896279954474945</c:v>
                </c:pt>
                <c:pt idx="97">
                  <c:v>15.316274216528164</c:v>
                </c:pt>
                <c:pt idx="98">
                  <c:v>44.636997792121782</c:v>
                </c:pt>
                <c:pt idx="99">
                  <c:v>90.485223958532274</c:v>
                </c:pt>
                <c:pt idx="100">
                  <c:v>127.03072072160336</c:v>
                </c:pt>
                <c:pt idx="101">
                  <c:v>129.56981771470922</c:v>
                </c:pt>
                <c:pt idx="102">
                  <c:v>84.040293172308409</c:v>
                </c:pt>
                <c:pt idx="103">
                  <c:v>75.858022127872005</c:v>
                </c:pt>
                <c:pt idx="104">
                  <c:v>69.583201021466394</c:v>
                </c:pt>
                <c:pt idx="105">
                  <c:v>89.032010949380819</c:v>
                </c:pt>
                <c:pt idx="106">
                  <c:v>93.782640228653946</c:v>
                </c:pt>
                <c:pt idx="107">
                  <c:v>93.651878633236493</c:v>
                </c:pt>
                <c:pt idx="108">
                  <c:v>90.608223752077734</c:v>
                </c:pt>
                <c:pt idx="109">
                  <c:v>56.603622698371247</c:v>
                </c:pt>
                <c:pt idx="110">
                  <c:v>37.152708032114738</c:v>
                </c:pt>
                <c:pt idx="111">
                  <c:v>35.846704303099536</c:v>
                </c:pt>
                <c:pt idx="112">
                  <c:v>39.191860486529109</c:v>
                </c:pt>
                <c:pt idx="113">
                  <c:v>41.641896170686202</c:v>
                </c:pt>
                <c:pt idx="114">
                  <c:v>56.276502751134593</c:v>
                </c:pt>
                <c:pt idx="115">
                  <c:v>36.957779695586233</c:v>
                </c:pt>
                <c:pt idx="116">
                  <c:v>27.930410436533652</c:v>
                </c:pt>
                <c:pt idx="117">
                  <c:v>27.085787385588439</c:v>
                </c:pt>
                <c:pt idx="118">
                  <c:v>30.659702704533021</c:v>
                </c:pt>
                <c:pt idx="119">
                  <c:v>47.410353447549682</c:v>
                </c:pt>
                <c:pt idx="120">
                  <c:v>60.7905011526191</c:v>
                </c:pt>
                <c:pt idx="121">
                  <c:v>79.815352327298697</c:v>
                </c:pt>
                <c:pt idx="122">
                  <c:v>75.142815152468174</c:v>
                </c:pt>
                <c:pt idx="123">
                  <c:v>82.241936547137684</c:v>
                </c:pt>
                <c:pt idx="124">
                  <c:v>82.13825686700747</c:v>
                </c:pt>
                <c:pt idx="125">
                  <c:v>68.059294899102028</c:v>
                </c:pt>
                <c:pt idx="126">
                  <c:v>76.311053619546584</c:v>
                </c:pt>
                <c:pt idx="127">
                  <c:v>63.745986528978484</c:v>
                </c:pt>
                <c:pt idx="128">
                  <c:v>70.765000120161289</c:v>
                </c:pt>
                <c:pt idx="129">
                  <c:v>94.045141503398952</c:v>
                </c:pt>
                <c:pt idx="130">
                  <c:v>82.763798057457436</c:v>
                </c:pt>
                <c:pt idx="131">
                  <c:v>91.352498397610148</c:v>
                </c:pt>
                <c:pt idx="132">
                  <c:v>106.22653923386649</c:v>
                </c:pt>
                <c:pt idx="133">
                  <c:v>84.148230065844814</c:v>
                </c:pt>
                <c:pt idx="134">
                  <c:v>94.308955039200498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AB-4166-846D-9E899628D7FA}"/>
            </c:ext>
          </c:extLst>
        </c:ser>
        <c:ser>
          <c:idx val="1"/>
          <c:order val="1"/>
          <c:tx>
            <c:strRef>
              <c:f>'Diferentes médias móveis'!$H$1</c:f>
              <c:strCache>
                <c:ptCount val="1"/>
                <c:pt idx="0">
                  <c:v>N0_6h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móveis'!$H$2:$H$1000</c:f>
              <c:numCache>
                <c:formatCode>General</c:formatCode>
                <c:ptCount val="999"/>
                <c:pt idx="5">
                  <c:v>16.415634190343205</c:v>
                </c:pt>
                <c:pt idx="6">
                  <c:v>9.3899154496177211</c:v>
                </c:pt>
                <c:pt idx="7">
                  <c:v>5.1109556470193152</c:v>
                </c:pt>
                <c:pt idx="8">
                  <c:v>13.143693756931491</c:v>
                </c:pt>
                <c:pt idx="9">
                  <c:v>19.217849856819235</c:v>
                </c:pt>
                <c:pt idx="10">
                  <c:v>25.73933382323046</c:v>
                </c:pt>
                <c:pt idx="11">
                  <c:v>32.515462128848256</c:v>
                </c:pt>
                <c:pt idx="12">
                  <c:v>40.842432087557413</c:v>
                </c:pt>
                <c:pt idx="13">
                  <c:v>54.669691694500344</c:v>
                </c:pt>
                <c:pt idx="14">
                  <c:v>75.588440081252458</c:v>
                </c:pt>
                <c:pt idx="15">
                  <c:v>58.499327042945879</c:v>
                </c:pt>
                <c:pt idx="16">
                  <c:v>85.72256679931877</c:v>
                </c:pt>
                <c:pt idx="17">
                  <c:v>74.701727464748402</c:v>
                </c:pt>
                <c:pt idx="18">
                  <c:v>75.708048630881379</c:v>
                </c:pt>
                <c:pt idx="19">
                  <c:v>75.290849212109919</c:v>
                </c:pt>
                <c:pt idx="20">
                  <c:v>76.738142963512388</c:v>
                </c:pt>
                <c:pt idx="21">
                  <c:v>66.880801871271657</c:v>
                </c:pt>
                <c:pt idx="22">
                  <c:v>20.656816536664564</c:v>
                </c:pt>
                <c:pt idx="23">
                  <c:v>0.45104472838655013</c:v>
                </c:pt>
                <c:pt idx="24">
                  <c:v>-5.4561618859094141</c:v>
                </c:pt>
                <c:pt idx="25">
                  <c:v>-6.5876767643853293</c:v>
                </c:pt>
                <c:pt idx="26">
                  <c:v>-6.9896480159925281</c:v>
                </c:pt>
                <c:pt idx="27">
                  <c:v>-7.0702006232677697</c:v>
                </c:pt>
                <c:pt idx="28">
                  <c:v>-6.828891220105743</c:v>
                </c:pt>
                <c:pt idx="29">
                  <c:v>-5.3403695747456457</c:v>
                </c:pt>
                <c:pt idx="30">
                  <c:v>0.47132322160080148</c:v>
                </c:pt>
                <c:pt idx="31">
                  <c:v>9.4761771831924477</c:v>
                </c:pt>
                <c:pt idx="32">
                  <c:v>20.191383307806284</c:v>
                </c:pt>
                <c:pt idx="33">
                  <c:v>34.342670881661043</c:v>
                </c:pt>
                <c:pt idx="34">
                  <c:v>47.561038629227546</c:v>
                </c:pt>
                <c:pt idx="35">
                  <c:v>51.486285961442022</c:v>
                </c:pt>
                <c:pt idx="36">
                  <c:v>60.27975118802398</c:v>
                </c:pt>
                <c:pt idx="37">
                  <c:v>62.367313290731119</c:v>
                </c:pt>
                <c:pt idx="38">
                  <c:v>69.325175482328348</c:v>
                </c:pt>
                <c:pt idx="39">
                  <c:v>63.902355813050349</c:v>
                </c:pt>
                <c:pt idx="40">
                  <c:v>74.120549515705974</c:v>
                </c:pt>
                <c:pt idx="41">
                  <c:v>88.164147973012646</c:v>
                </c:pt>
                <c:pt idx="42">
                  <c:v>86.246385474330083</c:v>
                </c:pt>
                <c:pt idx="43">
                  <c:v>35.185297542256741</c:v>
                </c:pt>
                <c:pt idx="44">
                  <c:v>1.6067749012029884</c:v>
                </c:pt>
                <c:pt idx="45">
                  <c:v>-2.2298048995215787</c:v>
                </c:pt>
                <c:pt idx="46">
                  <c:v>-6.0835849524993</c:v>
                </c:pt>
                <c:pt idx="47">
                  <c:v>-8.0528309183883149</c:v>
                </c:pt>
                <c:pt idx="48">
                  <c:v>-8.6079924962080057</c:v>
                </c:pt>
                <c:pt idx="49">
                  <c:v>-8.5537127037590164</c:v>
                </c:pt>
                <c:pt idx="50">
                  <c:v>-7.9945982140009111</c:v>
                </c:pt>
                <c:pt idx="51">
                  <c:v>-7.5583028732815638</c:v>
                </c:pt>
                <c:pt idx="52">
                  <c:v>-5.8638728068764001</c:v>
                </c:pt>
                <c:pt idx="53">
                  <c:v>2.2332541882821175</c:v>
                </c:pt>
                <c:pt idx="54">
                  <c:v>43.613766730991244</c:v>
                </c:pt>
                <c:pt idx="55">
                  <c:v>58.615269600439809</c:v>
                </c:pt>
                <c:pt idx="56">
                  <c:v>69.583201021466394</c:v>
                </c:pt>
                <c:pt idx="57">
                  <c:v>58.383767297487353</c:v>
                </c:pt>
                <c:pt idx="58">
                  <c:v>55.051128298584814</c:v>
                </c:pt>
                <c:pt idx="59">
                  <c:v>61.517885048783718</c:v>
                </c:pt>
                <c:pt idx="60">
                  <c:v>64.171934871420092</c:v>
                </c:pt>
                <c:pt idx="61">
                  <c:v>74.120549515705918</c:v>
                </c:pt>
                <c:pt idx="62">
                  <c:v>70.685142783134893</c:v>
                </c:pt>
                <c:pt idx="63">
                  <c:v>87.542327621829543</c:v>
                </c:pt>
                <c:pt idx="64">
                  <c:v>82.345846077584227</c:v>
                </c:pt>
                <c:pt idx="65">
                  <c:v>79.913949094888068</c:v>
                </c:pt>
                <c:pt idx="66">
                  <c:v>85.130749621641044</c:v>
                </c:pt>
                <c:pt idx="67">
                  <c:v>81.520963215934373</c:v>
                </c:pt>
                <c:pt idx="68">
                  <c:v>51.455061726737803</c:v>
                </c:pt>
                <c:pt idx="69">
                  <c:v>20.886436366347244</c:v>
                </c:pt>
                <c:pt idx="70">
                  <c:v>7.7380194803308804</c:v>
                </c:pt>
                <c:pt idx="71">
                  <c:v>4.0340669725935179</c:v>
                </c:pt>
                <c:pt idx="72">
                  <c:v>4.047379348013437</c:v>
                </c:pt>
                <c:pt idx="73">
                  <c:v>4.2322786218953006</c:v>
                </c:pt>
                <c:pt idx="74">
                  <c:v>5.5069193912586982</c:v>
                </c:pt>
                <c:pt idx="75">
                  <c:v>10.455317602959772</c:v>
                </c:pt>
                <c:pt idx="76">
                  <c:v>29.796005951216493</c:v>
                </c:pt>
                <c:pt idx="77">
                  <c:v>55.6848733465892</c:v>
                </c:pt>
                <c:pt idx="78">
                  <c:v>56.294593617676981</c:v>
                </c:pt>
                <c:pt idx="79">
                  <c:v>55.720435493574549</c:v>
                </c:pt>
                <c:pt idx="80">
                  <c:v>54.842528520946686</c:v>
                </c:pt>
                <c:pt idx="81">
                  <c:v>66.114346559370247</c:v>
                </c:pt>
                <c:pt idx="82">
                  <c:v>71.490761356040082</c:v>
                </c:pt>
                <c:pt idx="83">
                  <c:v>82.069264398533562</c:v>
                </c:pt>
                <c:pt idx="84">
                  <c:v>85.722566799318628</c:v>
                </c:pt>
                <c:pt idx="85">
                  <c:v>85.057278695544497</c:v>
                </c:pt>
                <c:pt idx="86">
                  <c:v>85.573933931855279</c:v>
                </c:pt>
                <c:pt idx="87">
                  <c:v>80.643549797358844</c:v>
                </c:pt>
                <c:pt idx="88">
                  <c:v>72.534169957557538</c:v>
                </c:pt>
                <c:pt idx="89">
                  <c:v>84.618788683977257</c:v>
                </c:pt>
                <c:pt idx="90">
                  <c:v>66.447818393534064</c:v>
                </c:pt>
                <c:pt idx="91">
                  <c:v>11.865085696571185</c:v>
                </c:pt>
                <c:pt idx="92">
                  <c:v>1.6013662675208749</c:v>
                </c:pt>
                <c:pt idx="93">
                  <c:v>0.22376775010176514</c:v>
                </c:pt>
                <c:pt idx="94">
                  <c:v>-1.1018873614501212</c:v>
                </c:pt>
                <c:pt idx="95">
                  <c:v>-1.6480006078566145</c:v>
                </c:pt>
                <c:pt idx="96">
                  <c:v>-1.5795049762490256</c:v>
                </c:pt>
                <c:pt idx="97">
                  <c:v>2.5929220724000239</c:v>
                </c:pt>
                <c:pt idx="98">
                  <c:v>16.250930262251835</c:v>
                </c:pt>
                <c:pt idx="99">
                  <c:v>26.203688885982917</c:v>
                </c:pt>
                <c:pt idx="100">
                  <c:v>58.230279852566269</c:v>
                </c:pt>
                <c:pt idx="101">
                  <c:v>92.660062300870209</c:v>
                </c:pt>
                <c:pt idx="102">
                  <c:v>95.738534922286703</c:v>
                </c:pt>
                <c:pt idx="103">
                  <c:v>96.101986283549337</c:v>
                </c:pt>
                <c:pt idx="104">
                  <c:v>82.069264398533562</c:v>
                </c:pt>
                <c:pt idx="105">
                  <c:v>91.644877077379988</c:v>
                </c:pt>
                <c:pt idx="106">
                  <c:v>80.710455055801418</c:v>
                </c:pt>
                <c:pt idx="107">
                  <c:v>80.177917744732341</c:v>
                </c:pt>
                <c:pt idx="108">
                  <c:v>86.171208919680481</c:v>
                </c:pt>
                <c:pt idx="109">
                  <c:v>72.86913997456341</c:v>
                </c:pt>
                <c:pt idx="110">
                  <c:v>49.754578376229077</c:v>
                </c:pt>
                <c:pt idx="111">
                  <c:v>42.975444763447022</c:v>
                </c:pt>
                <c:pt idx="112">
                  <c:v>47.124806515796791</c:v>
                </c:pt>
                <c:pt idx="113">
                  <c:v>43.878133119334272</c:v>
                </c:pt>
                <c:pt idx="114">
                  <c:v>39.43584267388399</c:v>
                </c:pt>
                <c:pt idx="115">
                  <c:v>33.291687516870148</c:v>
                </c:pt>
                <c:pt idx="116">
                  <c:v>37.85227789686266</c:v>
                </c:pt>
                <c:pt idx="117">
                  <c:v>35.548509757386832</c:v>
                </c:pt>
                <c:pt idx="118">
                  <c:v>33.354969944937473</c:v>
                </c:pt>
                <c:pt idx="119">
                  <c:v>35.899719689406325</c:v>
                </c:pt>
                <c:pt idx="120">
                  <c:v>39.39501600989108</c:v>
                </c:pt>
                <c:pt idx="121">
                  <c:v>56.07813858620424</c:v>
                </c:pt>
                <c:pt idx="122">
                  <c:v>64.946317276508594</c:v>
                </c:pt>
                <c:pt idx="123">
                  <c:v>79.979798646041303</c:v>
                </c:pt>
                <c:pt idx="124">
                  <c:v>79.78253398510401</c:v>
                </c:pt>
                <c:pt idx="125">
                  <c:v>72.813126312959824</c:v>
                </c:pt>
                <c:pt idx="126">
                  <c:v>75.827986176654889</c:v>
                </c:pt>
                <c:pt idx="127">
                  <c:v>68.560858854120013</c:v>
                </c:pt>
                <c:pt idx="128">
                  <c:v>76.493584606035824</c:v>
                </c:pt>
                <c:pt idx="129">
                  <c:v>78.873102339480369</c:v>
                </c:pt>
                <c:pt idx="130">
                  <c:v>76.189786421169686</c:v>
                </c:pt>
                <c:pt idx="131">
                  <c:v>82.903943899138582</c:v>
                </c:pt>
                <c:pt idx="132">
                  <c:v>94.485564631083534</c:v>
                </c:pt>
                <c:pt idx="133">
                  <c:v>97.487152857353124</c:v>
                </c:pt>
                <c:pt idx="134">
                  <c:v>92.660062300870209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AB-4166-846D-9E899628D7FA}"/>
            </c:ext>
          </c:extLst>
        </c:ser>
        <c:ser>
          <c:idx val="2"/>
          <c:order val="2"/>
          <c:tx>
            <c:strRef>
              <c:f>'Diferentes médias móveis'!$L$1</c:f>
              <c:strCache>
                <c:ptCount val="1"/>
                <c:pt idx="0">
                  <c:v>N0_8h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'Diferentes médias móveis'!$A$2:$A$1000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móveis'!$L$2:$L$1000</c:f>
              <c:numCache>
                <c:formatCode>General</c:formatCode>
                <c:ptCount val="999"/>
                <c:pt idx="7">
                  <c:v>18.225611867464693</c:v>
                </c:pt>
                <c:pt idx="8">
                  <c:v>11.700744976263612</c:v>
                </c:pt>
                <c:pt idx="9">
                  <c:v>8.2434784203305238</c:v>
                </c:pt>
                <c:pt idx="10">
                  <c:v>16.5559377978295</c:v>
                </c:pt>
                <c:pt idx="11">
                  <c:v>22.767501858243662</c:v>
                </c:pt>
                <c:pt idx="12">
                  <c:v>33.831303188867714</c:v>
                </c:pt>
                <c:pt idx="13">
                  <c:v>43.721610939511656</c:v>
                </c:pt>
                <c:pt idx="14">
                  <c:v>51.745072566014208</c:v>
                </c:pt>
                <c:pt idx="15">
                  <c:v>50.178516513159011</c:v>
                </c:pt>
                <c:pt idx="16">
                  <c:v>65.877893976093176</c:v>
                </c:pt>
                <c:pt idx="17">
                  <c:v>62.756037627985975</c:v>
                </c:pt>
                <c:pt idx="18">
                  <c:v>83.557576578164699</c:v>
                </c:pt>
                <c:pt idx="19">
                  <c:v>91.477600330584607</c:v>
                </c:pt>
                <c:pt idx="20">
                  <c:v>88.675155726034859</c:v>
                </c:pt>
                <c:pt idx="21">
                  <c:v>57.717200714673091</c:v>
                </c:pt>
                <c:pt idx="22">
                  <c:v>24.686183541055318</c:v>
                </c:pt>
                <c:pt idx="23">
                  <c:v>3.7651830532449209</c:v>
                </c:pt>
                <c:pt idx="24">
                  <c:v>-3.6197180011467989</c:v>
                </c:pt>
                <c:pt idx="25">
                  <c:v>-4.9932932345748391</c:v>
                </c:pt>
                <c:pt idx="26">
                  <c:v>-5.5357804713309147</c:v>
                </c:pt>
                <c:pt idx="27">
                  <c:v>-5.7894246977867478</c:v>
                </c:pt>
                <c:pt idx="28">
                  <c:v>-5.935063862761357</c:v>
                </c:pt>
                <c:pt idx="29">
                  <c:v>-5.8725516584179713</c:v>
                </c:pt>
                <c:pt idx="30">
                  <c:v>-5.4840767088073656</c:v>
                </c:pt>
                <c:pt idx="31">
                  <c:v>-3.6064931539927474</c:v>
                </c:pt>
                <c:pt idx="32">
                  <c:v>3.372334469102793</c:v>
                </c:pt>
                <c:pt idx="33">
                  <c:v>14.275348873835503</c:v>
                </c:pt>
                <c:pt idx="34">
                  <c:v>26.797788100168241</c:v>
                </c:pt>
                <c:pt idx="35">
                  <c:v>37.761344749393672</c:v>
                </c:pt>
                <c:pt idx="36">
                  <c:v>50.562834631968101</c:v>
                </c:pt>
                <c:pt idx="37">
                  <c:v>54.816545459144884</c:v>
                </c:pt>
                <c:pt idx="38">
                  <c:v>60.605795973690448</c:v>
                </c:pt>
                <c:pt idx="39">
                  <c:v>65.490881208865531</c:v>
                </c:pt>
                <c:pt idx="40">
                  <c:v>77.74579980730924</c:v>
                </c:pt>
                <c:pt idx="41">
                  <c:v>75.723022804322369</c:v>
                </c:pt>
                <c:pt idx="42">
                  <c:v>78.696589155990068</c:v>
                </c:pt>
                <c:pt idx="43">
                  <c:v>40.483551633371185</c:v>
                </c:pt>
                <c:pt idx="44">
                  <c:v>4.9901679025964745</c:v>
                </c:pt>
                <c:pt idx="45">
                  <c:v>0.44177336095074099</c:v>
                </c:pt>
                <c:pt idx="46">
                  <c:v>-4.3771728979406195</c:v>
                </c:pt>
                <c:pt idx="47">
                  <c:v>-6.9356252224266726</c:v>
                </c:pt>
                <c:pt idx="48">
                  <c:v>-7.6782866144635182</c:v>
                </c:pt>
                <c:pt idx="49">
                  <c:v>-7.7444028515398822</c:v>
                </c:pt>
                <c:pt idx="50">
                  <c:v>-7.7536262186814282</c:v>
                </c:pt>
                <c:pt idx="51">
                  <c:v>-7.6232498386418239</c:v>
                </c:pt>
                <c:pt idx="52">
                  <c:v>-6.875540266236559</c:v>
                </c:pt>
                <c:pt idx="53">
                  <c:v>-6.3131589848667566</c:v>
                </c:pt>
                <c:pt idx="54">
                  <c:v>-4.1902180128449649</c:v>
                </c:pt>
                <c:pt idx="55">
                  <c:v>5.3361281241325376</c:v>
                </c:pt>
                <c:pt idx="56">
                  <c:v>47.885553725733828</c:v>
                </c:pt>
                <c:pt idx="57">
                  <c:v>59.30919981951871</c:v>
                </c:pt>
                <c:pt idx="58">
                  <c:v>62.270767294131957</c:v>
                </c:pt>
                <c:pt idx="59">
                  <c:v>66.66371051509779</c:v>
                </c:pt>
                <c:pt idx="60">
                  <c:v>61.791798356475994</c:v>
                </c:pt>
                <c:pt idx="61">
                  <c:v>62.335103225749144</c:v>
                </c:pt>
                <c:pt idx="62">
                  <c:v>69.428188383526404</c:v>
                </c:pt>
                <c:pt idx="63">
                  <c:v>79.423082999835685</c:v>
                </c:pt>
                <c:pt idx="64">
                  <c:v>69.816836623703594</c:v>
                </c:pt>
                <c:pt idx="65">
                  <c:v>85.908999169431695</c:v>
                </c:pt>
                <c:pt idx="66">
                  <c:v>87.157614851730642</c:v>
                </c:pt>
                <c:pt idx="67">
                  <c:v>76.722818247214079</c:v>
                </c:pt>
                <c:pt idx="68">
                  <c:v>58.144239085771268</c:v>
                </c:pt>
                <c:pt idx="69">
                  <c:v>27.875395086047778</c:v>
                </c:pt>
                <c:pt idx="70">
                  <c:v>12.220773506877759</c:v>
                </c:pt>
                <c:pt idx="71">
                  <c:v>8.1176698601665667</c:v>
                </c:pt>
                <c:pt idx="72">
                  <c:v>8.3476192455050651</c:v>
                </c:pt>
                <c:pt idx="73">
                  <c:v>8.183804787446384</c:v>
                </c:pt>
                <c:pt idx="74">
                  <c:v>8.2250788019835781</c:v>
                </c:pt>
                <c:pt idx="75">
                  <c:v>7.9196774611999325</c:v>
                </c:pt>
                <c:pt idx="76">
                  <c:v>9.1588332287500691</c:v>
                </c:pt>
                <c:pt idx="77">
                  <c:v>14.154288327636323</c:v>
                </c:pt>
                <c:pt idx="78">
                  <c:v>33.020815102252818</c:v>
                </c:pt>
                <c:pt idx="79">
                  <c:v>61.601947750124829</c:v>
                </c:pt>
                <c:pt idx="80">
                  <c:v>61.162764958095607</c:v>
                </c:pt>
                <c:pt idx="81">
                  <c:v>62.658473488401143</c:v>
                </c:pt>
                <c:pt idx="82">
                  <c:v>63.446241410515967</c:v>
                </c:pt>
                <c:pt idx="83">
                  <c:v>66.411952268108664</c:v>
                </c:pt>
                <c:pt idx="84">
                  <c:v>71.735535866428052</c:v>
                </c:pt>
                <c:pt idx="85">
                  <c:v>85.74117791679879</c:v>
                </c:pt>
                <c:pt idx="86">
                  <c:v>84.419142314182722</c:v>
                </c:pt>
                <c:pt idx="87">
                  <c:v>84.040293172308353</c:v>
                </c:pt>
                <c:pt idx="88">
                  <c:v>79.716968018503593</c:v>
                </c:pt>
                <c:pt idx="89">
                  <c:v>79.61879548252459</c:v>
                </c:pt>
                <c:pt idx="90">
                  <c:v>67.872824810116754</c:v>
                </c:pt>
                <c:pt idx="91">
                  <c:v>17.597314508648665</c:v>
                </c:pt>
                <c:pt idx="92">
                  <c:v>5.1785842855613398</c:v>
                </c:pt>
                <c:pt idx="93">
                  <c:v>3.4988032689263275</c:v>
                </c:pt>
                <c:pt idx="94">
                  <c:v>1.768709943390999</c:v>
                </c:pt>
                <c:pt idx="95">
                  <c:v>1.1643371997245509</c:v>
                </c:pt>
                <c:pt idx="96">
                  <c:v>1.1143338535883631</c:v>
                </c:pt>
                <c:pt idx="97">
                  <c:v>1.0340311892726008</c:v>
                </c:pt>
                <c:pt idx="98">
                  <c:v>1.4263386513165013</c:v>
                </c:pt>
                <c:pt idx="99">
                  <c:v>6.8604949679167371</c:v>
                </c:pt>
                <c:pt idx="100">
                  <c:v>23.131952888397173</c:v>
                </c:pt>
                <c:pt idx="101">
                  <c:v>33.565876178268624</c:v>
                </c:pt>
                <c:pt idx="102">
                  <c:v>59.220477571428944</c:v>
                </c:pt>
                <c:pt idx="103">
                  <c:v>82.60663052876825</c:v>
                </c:pt>
                <c:pt idx="104">
                  <c:v>90.793280742552369</c:v>
                </c:pt>
                <c:pt idx="105">
                  <c:v>105.90004235514485</c:v>
                </c:pt>
                <c:pt idx="106">
                  <c:v>88.67515572603493</c:v>
                </c:pt>
                <c:pt idx="107">
                  <c:v>83.932599612927078</c:v>
                </c:pt>
                <c:pt idx="108">
                  <c:v>78.889183256467049</c:v>
                </c:pt>
                <c:pt idx="109">
                  <c:v>69.699850763527238</c:v>
                </c:pt>
                <c:pt idx="110">
                  <c:v>55.051128298584814</c:v>
                </c:pt>
                <c:pt idx="111">
                  <c:v>53.793654651750877</c:v>
                </c:pt>
                <c:pt idx="112">
                  <c:v>56.249384547260981</c:v>
                </c:pt>
                <c:pt idx="113">
                  <c:v>48.199619087663706</c:v>
                </c:pt>
                <c:pt idx="114">
                  <c:v>45.144039371315337</c:v>
                </c:pt>
                <c:pt idx="115">
                  <c:v>36.395799250129791</c:v>
                </c:pt>
                <c:pt idx="116">
                  <c:v>32.857534365322842</c:v>
                </c:pt>
                <c:pt idx="117">
                  <c:v>33.208899808881078</c:v>
                </c:pt>
                <c:pt idx="118">
                  <c:v>40.483551633371185</c:v>
                </c:pt>
                <c:pt idx="119">
                  <c:v>41.675273623223674</c:v>
                </c:pt>
                <c:pt idx="120">
                  <c:v>39.527942585947137</c:v>
                </c:pt>
                <c:pt idx="121">
                  <c:v>42.748558214792823</c:v>
                </c:pt>
                <c:pt idx="122">
                  <c:v>45.21993667650672</c:v>
                </c:pt>
                <c:pt idx="123">
                  <c:v>60.852280008925497</c:v>
                </c:pt>
                <c:pt idx="124">
                  <c:v>70.091118944830171</c:v>
                </c:pt>
                <c:pt idx="125">
                  <c:v>73.532919307183178</c:v>
                </c:pt>
                <c:pt idx="126">
                  <c:v>75.723022804322369</c:v>
                </c:pt>
                <c:pt idx="127">
                  <c:v>71.981758533112696</c:v>
                </c:pt>
                <c:pt idx="128">
                  <c:v>76.083952046754476</c:v>
                </c:pt>
                <c:pt idx="129">
                  <c:v>79.228209450121099</c:v>
                </c:pt>
                <c:pt idx="130">
                  <c:v>79.423082999835685</c:v>
                </c:pt>
                <c:pt idx="131">
                  <c:v>75.409641169473446</c:v>
                </c:pt>
                <c:pt idx="132">
                  <c:v>85.351834787631489</c:v>
                </c:pt>
                <c:pt idx="133">
                  <c:v>88.853266095298139</c:v>
                </c:pt>
                <c:pt idx="134">
                  <c:v>88.203271096262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AB-4166-846D-9E899628D7FA}"/>
            </c:ext>
          </c:extLst>
        </c:ser>
        <c:ser>
          <c:idx val="3"/>
          <c:order val="3"/>
          <c:tx>
            <c:strRef>
              <c:f>'Diferentes médias móveis'!$P$1</c:f>
              <c:strCache>
                <c:ptCount val="1"/>
                <c:pt idx="0">
                  <c:v>N0_10h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'Diferentes médias móveis'!$A$2:$A$1000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móveis'!$P$2:$P$1000</c:f>
              <c:numCache>
                <c:formatCode>General</c:formatCode>
                <c:ptCount val="999"/>
                <c:pt idx="9">
                  <c:v>20.436853741702464</c:v>
                </c:pt>
                <c:pt idx="10">
                  <c:v>14.373813768427674</c:v>
                </c:pt>
                <c:pt idx="11">
                  <c:v>11.056648925055219</c:v>
                </c:pt>
                <c:pt idx="12">
                  <c:v>21.777520203023876</c:v>
                </c:pt>
                <c:pt idx="13">
                  <c:v>29.820191616034375</c:v>
                </c:pt>
                <c:pt idx="14">
                  <c:v>41.595238069372932</c:v>
                </c:pt>
                <c:pt idx="15">
                  <c:v>42.877476756103903</c:v>
                </c:pt>
                <c:pt idx="16">
                  <c:v>50.617477447867351</c:v>
                </c:pt>
                <c:pt idx="17">
                  <c:v>54.408697659500291</c:v>
                </c:pt>
                <c:pt idx="18">
                  <c:v>67.969680036523044</c:v>
                </c:pt>
                <c:pt idx="19">
                  <c:v>74.842386101920837</c:v>
                </c:pt>
                <c:pt idx="20">
                  <c:v>93.521441448084758</c:v>
                </c:pt>
                <c:pt idx="21">
                  <c:v>69.058565214871109</c:v>
                </c:pt>
                <c:pt idx="22">
                  <c:v>31.429294084809545</c:v>
                </c:pt>
                <c:pt idx="23">
                  <c:v>6.2589218544891176</c:v>
                </c:pt>
                <c:pt idx="24">
                  <c:v>-1.9733353477525806</c:v>
                </c:pt>
                <c:pt idx="25">
                  <c:v>-3.5097216576420549</c:v>
                </c:pt>
                <c:pt idx="26">
                  <c:v>-4.1674266787896386</c:v>
                </c:pt>
                <c:pt idx="27">
                  <c:v>-4.4027289620842822</c:v>
                </c:pt>
                <c:pt idx="28">
                  <c:v>-4.5969345584529284</c:v>
                </c:pt>
                <c:pt idx="29">
                  <c:v>-4.6882426737253429</c:v>
                </c:pt>
                <c:pt idx="30">
                  <c:v>-4.7563898196266097</c:v>
                </c:pt>
                <c:pt idx="31">
                  <c:v>-4.6554211631944868</c:v>
                </c:pt>
                <c:pt idx="32">
                  <c:v>-4.1821306775112834</c:v>
                </c:pt>
                <c:pt idx="33">
                  <c:v>-1.8644783811800958</c:v>
                </c:pt>
                <c:pt idx="34">
                  <c:v>6.4380255697614537</c:v>
                </c:pt>
                <c:pt idx="35">
                  <c:v>17.749106502838458</c:v>
                </c:pt>
                <c:pt idx="36">
                  <c:v>30.836795632001035</c:v>
                </c:pt>
                <c:pt idx="37">
                  <c:v>41.755550831904664</c:v>
                </c:pt>
                <c:pt idx="38">
                  <c:v>52.495628500891144</c:v>
                </c:pt>
                <c:pt idx="39">
                  <c:v>58.276255246630484</c:v>
                </c:pt>
                <c:pt idx="40">
                  <c:v>67.642812321684517</c:v>
                </c:pt>
                <c:pt idx="41">
                  <c:v>74.666634383848816</c:v>
                </c:pt>
                <c:pt idx="42">
                  <c:v>80.871424779094298</c:v>
                </c:pt>
                <c:pt idx="43">
                  <c:v>42.434073729989919</c:v>
                </c:pt>
                <c:pt idx="44">
                  <c:v>8.0141226644487826</c:v>
                </c:pt>
                <c:pt idx="45">
                  <c:v>2.882447205415918</c:v>
                </c:pt>
                <c:pt idx="46">
                  <c:v>-2.8081918311664249</c:v>
                </c:pt>
                <c:pt idx="47">
                  <c:v>-5.8674225052661528</c:v>
                </c:pt>
                <c:pt idx="48">
                  <c:v>-6.7577590651759838</c:v>
                </c:pt>
                <c:pt idx="49">
                  <c:v>-6.8321190656738278</c:v>
                </c:pt>
                <c:pt idx="50">
                  <c:v>-6.8575105898387694</c:v>
                </c:pt>
                <c:pt idx="51">
                  <c:v>-6.864526120857156</c:v>
                </c:pt>
                <c:pt idx="52">
                  <c:v>-6.8567976826931529</c:v>
                </c:pt>
                <c:pt idx="53">
                  <c:v>-6.7009868452569785</c:v>
                </c:pt>
                <c:pt idx="54">
                  <c:v>-5.817519642879053</c:v>
                </c:pt>
                <c:pt idx="55">
                  <c:v>-5.1734387969050788</c:v>
                </c:pt>
                <c:pt idx="56">
                  <c:v>-2.5735889247704731</c:v>
                </c:pt>
                <c:pt idx="57">
                  <c:v>8.3975304191235569</c:v>
                </c:pt>
                <c:pt idx="58">
                  <c:v>47.616024542735325</c:v>
                </c:pt>
                <c:pt idx="59">
                  <c:v>65.736712704441302</c:v>
                </c:pt>
                <c:pt idx="60">
                  <c:v>66.967976440182824</c:v>
                </c:pt>
                <c:pt idx="61">
                  <c:v>66.304551655780969</c:v>
                </c:pt>
                <c:pt idx="62">
                  <c:v>66.190316892211555</c:v>
                </c:pt>
                <c:pt idx="63">
                  <c:v>67.70204266573711</c:v>
                </c:pt>
                <c:pt idx="64">
                  <c:v>68.997289360816538</c:v>
                </c:pt>
                <c:pt idx="65">
                  <c:v>79.795658490829922</c:v>
                </c:pt>
                <c:pt idx="66">
                  <c:v>75.054236862165283</c:v>
                </c:pt>
                <c:pt idx="67">
                  <c:v>81.808017632681</c:v>
                </c:pt>
                <c:pt idx="68">
                  <c:v>63.201567477179225</c:v>
                </c:pt>
                <c:pt idx="69">
                  <c:v>32.101394427255741</c:v>
                </c:pt>
                <c:pt idx="70">
                  <c:v>16.525290283503839</c:v>
                </c:pt>
                <c:pt idx="71">
                  <c:v>11.990420392972505</c:v>
                </c:pt>
                <c:pt idx="72">
                  <c:v>11.840179081787529</c:v>
                </c:pt>
                <c:pt idx="73">
                  <c:v>11.865945493483721</c:v>
                </c:pt>
                <c:pt idx="74">
                  <c:v>12.155820487322471</c:v>
                </c:pt>
                <c:pt idx="75">
                  <c:v>11.383437634599249</c:v>
                </c:pt>
                <c:pt idx="76">
                  <c:v>11.226186349865701</c:v>
                </c:pt>
                <c:pt idx="77">
                  <c:v>10.697081415907487</c:v>
                </c:pt>
                <c:pt idx="78">
                  <c:v>12.216786542557463</c:v>
                </c:pt>
                <c:pt idx="79">
                  <c:v>18.62328605350843</c:v>
                </c:pt>
                <c:pt idx="80">
                  <c:v>38.180491940551754</c:v>
                </c:pt>
                <c:pt idx="81">
                  <c:v>66.591613717909809</c:v>
                </c:pt>
                <c:pt idx="82">
                  <c:v>67.613230358293748</c:v>
                </c:pt>
                <c:pt idx="83">
                  <c:v>63.54589075374232</c:v>
                </c:pt>
                <c:pt idx="84">
                  <c:v>65.09385927014182</c:v>
                </c:pt>
                <c:pt idx="85">
                  <c:v>71.263600465367034</c:v>
                </c:pt>
                <c:pt idx="86">
                  <c:v>73.387979188400749</c:v>
                </c:pt>
                <c:pt idx="87">
                  <c:v>84.779105161951591</c:v>
                </c:pt>
                <c:pt idx="88">
                  <c:v>79.992979942161867</c:v>
                </c:pt>
                <c:pt idx="89">
                  <c:v>82.470841994164687</c:v>
                </c:pt>
                <c:pt idx="90">
                  <c:v>73.901751422506209</c:v>
                </c:pt>
                <c:pt idx="91">
                  <c:v>21.798461400508646</c:v>
                </c:pt>
                <c:pt idx="92">
                  <c:v>8.3620537098747594</c:v>
                </c:pt>
                <c:pt idx="93">
                  <c:v>6.6316449332859424</c:v>
                </c:pt>
                <c:pt idx="94">
                  <c:v>4.5099458833296264</c:v>
                </c:pt>
                <c:pt idx="95">
                  <c:v>3.8071343999611691</c:v>
                </c:pt>
                <c:pt idx="96">
                  <c:v>3.6493669984340547</c:v>
                </c:pt>
                <c:pt idx="97">
                  <c:v>3.6298744458570691</c:v>
                </c:pt>
                <c:pt idx="98">
                  <c:v>3.9253846757716717</c:v>
                </c:pt>
                <c:pt idx="99">
                  <c:v>3.9265089443087473</c:v>
                </c:pt>
                <c:pt idx="100">
                  <c:v>4.2807612784294085</c:v>
                </c:pt>
                <c:pt idx="101">
                  <c:v>10.52156247264297</c:v>
                </c:pt>
                <c:pt idx="102">
                  <c:v>27.248257609809396</c:v>
                </c:pt>
                <c:pt idx="103">
                  <c:v>37.298530186531757</c:v>
                </c:pt>
                <c:pt idx="104">
                  <c:v>62.367313290731083</c:v>
                </c:pt>
                <c:pt idx="105">
                  <c:v>91.177865475840008</c:v>
                </c:pt>
                <c:pt idx="106">
                  <c:v>94.947520788867763</c:v>
                </c:pt>
                <c:pt idx="107">
                  <c:v>95.108368357572772</c:v>
                </c:pt>
                <c:pt idx="108">
                  <c:v>85.307536858785184</c:v>
                </c:pt>
                <c:pt idx="109">
                  <c:v>74.039809380426789</c:v>
                </c:pt>
                <c:pt idx="110">
                  <c:v>56.396081210083452</c:v>
                </c:pt>
                <c:pt idx="111">
                  <c:v>55.197930382101511</c:v>
                </c:pt>
                <c:pt idx="112">
                  <c:v>59.756171328168548</c:v>
                </c:pt>
                <c:pt idx="113">
                  <c:v>56.812436882732364</c:v>
                </c:pt>
                <c:pt idx="114">
                  <c:v>52.206698217680739</c:v>
                </c:pt>
                <c:pt idx="115">
                  <c:v>40.397515143480234</c:v>
                </c:pt>
                <c:pt idx="116">
                  <c:v>37.570049594705416</c:v>
                </c:pt>
                <c:pt idx="117">
                  <c:v>35.667335702713935</c:v>
                </c:pt>
                <c:pt idx="118">
                  <c:v>35.520637668577358</c:v>
                </c:pt>
                <c:pt idx="119">
                  <c:v>38.040952209400189</c:v>
                </c:pt>
                <c:pt idx="120">
                  <c:v>45.026799128055742</c:v>
                </c:pt>
                <c:pt idx="121">
                  <c:v>46.866146781856401</c:v>
                </c:pt>
                <c:pt idx="122">
                  <c:v>44.076862159293398</c:v>
                </c:pt>
                <c:pt idx="123">
                  <c:v>47.58302071541798</c:v>
                </c:pt>
                <c:pt idx="124">
                  <c:v>50.763663138644446</c:v>
                </c:pt>
                <c:pt idx="125">
                  <c:v>60.409814630397065</c:v>
                </c:pt>
                <c:pt idx="126">
                  <c:v>69.119934428358192</c:v>
                </c:pt>
                <c:pt idx="127">
                  <c:v>72.712488926516045</c:v>
                </c:pt>
                <c:pt idx="128">
                  <c:v>75.948254077851487</c:v>
                </c:pt>
                <c:pt idx="129">
                  <c:v>80.19115620064882</c:v>
                </c:pt>
                <c:pt idx="130">
                  <c:v>78.476118085909675</c:v>
                </c:pt>
                <c:pt idx="131">
                  <c:v>76.347499209900064</c:v>
                </c:pt>
                <c:pt idx="132">
                  <c:v>86.381995305017469</c:v>
                </c:pt>
                <c:pt idx="133">
                  <c:v>80.911755061143751</c:v>
                </c:pt>
                <c:pt idx="134">
                  <c:v>82.638022092853149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AB-4166-846D-9E899628D7FA}"/>
            </c:ext>
          </c:extLst>
        </c:ser>
        <c:ser>
          <c:idx val="4"/>
          <c:order val="4"/>
          <c:tx>
            <c:strRef>
              <c:f>'Diferentes médias móveis'!$T$1</c:f>
              <c:strCache>
                <c:ptCount val="1"/>
                <c:pt idx="0">
                  <c:v>N0_12h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'Diferentes médias móveis'!$A$2:$A$1000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móveis'!$T$2:$T$1000</c:f>
              <c:numCache>
                <c:formatCode>General</c:formatCode>
                <c:ptCount val="999"/>
                <c:pt idx="11">
                  <c:v>20.810031121079263</c:v>
                </c:pt>
                <c:pt idx="12">
                  <c:v>16.187676790698962</c:v>
                </c:pt>
                <c:pt idx="13">
                  <c:v>13.059640990843036</c:v>
                </c:pt>
                <c:pt idx="14">
                  <c:v>24.625123779436947</c:v>
                </c:pt>
                <c:pt idx="15">
                  <c:v>32.521010272861687</c:v>
                </c:pt>
                <c:pt idx="16">
                  <c:v>38.613573806554399</c:v>
                </c:pt>
                <c:pt idx="17">
                  <c:v>47.250550147434836</c:v>
                </c:pt>
                <c:pt idx="18">
                  <c:v>49.722363804827573</c:v>
                </c:pt>
                <c:pt idx="19">
                  <c:v>59.247339613464831</c:v>
                </c:pt>
                <c:pt idx="20">
                  <c:v>73.012056611120002</c:v>
                </c:pt>
                <c:pt idx="21">
                  <c:v>78.257587271173989</c:v>
                </c:pt>
                <c:pt idx="22">
                  <c:v>70.023267079369631</c:v>
                </c:pt>
                <c:pt idx="23">
                  <c:v>34.815362423531909</c:v>
                </c:pt>
                <c:pt idx="24">
                  <c:v>7.8972289052925122</c:v>
                </c:pt>
                <c:pt idx="25">
                  <c:v>-1.0986356156948498</c:v>
                </c:pt>
                <c:pt idx="26">
                  <c:v>-2.9242153154475301</c:v>
                </c:pt>
                <c:pt idx="27">
                  <c:v>-3.4538315105784436</c:v>
                </c:pt>
                <c:pt idx="28">
                  <c:v>-3.7951915705141017</c:v>
                </c:pt>
                <c:pt idx="29">
                  <c:v>-3.9262746985572266</c:v>
                </c:pt>
                <c:pt idx="30">
                  <c:v>-4.0290758448702908</c:v>
                </c:pt>
                <c:pt idx="31">
                  <c:v>-4.1155643154987622</c:v>
                </c:pt>
                <c:pt idx="32">
                  <c:v>-4.1701968313409719</c:v>
                </c:pt>
                <c:pt idx="33">
                  <c:v>-4.0669994251625221</c:v>
                </c:pt>
                <c:pt idx="34">
                  <c:v>-3.4823709880611244</c:v>
                </c:pt>
                <c:pt idx="35">
                  <c:v>-1.0430431030398424</c:v>
                </c:pt>
                <c:pt idx="36">
                  <c:v>7.6341975026593882</c:v>
                </c:pt>
                <c:pt idx="37">
                  <c:v>19.76859949716248</c:v>
                </c:pt>
                <c:pt idx="38">
                  <c:v>32.206982442380742</c:v>
                </c:pt>
                <c:pt idx="39">
                  <c:v>43.594203932639161</c:v>
                </c:pt>
                <c:pt idx="40">
                  <c:v>54.345322321514764</c:v>
                </c:pt>
                <c:pt idx="41">
                  <c:v>62.862764436937326</c:v>
                </c:pt>
                <c:pt idx="42">
                  <c:v>70.656142177663256</c:v>
                </c:pt>
                <c:pt idx="43">
                  <c:v>75.0220714623932</c:v>
                </c:pt>
                <c:pt idx="44">
                  <c:v>46.130774970422387</c:v>
                </c:pt>
                <c:pt idx="45">
                  <c:v>9.3905402464401551</c:v>
                </c:pt>
                <c:pt idx="46">
                  <c:v>3.9341787817366898</c:v>
                </c:pt>
                <c:pt idx="47">
                  <c:v>-2.0205790245740358</c:v>
                </c:pt>
                <c:pt idx="48">
                  <c:v>-5.3577031397979544</c:v>
                </c:pt>
                <c:pt idx="49">
                  <c:v>-6.3127689656387211</c:v>
                </c:pt>
                <c:pt idx="50">
                  <c:v>-6.3910806899424353</c:v>
                </c:pt>
                <c:pt idx="51">
                  <c:v>-6.4041635921744273</c:v>
                </c:pt>
                <c:pt idx="52">
                  <c:v>-6.4187326856290392</c:v>
                </c:pt>
                <c:pt idx="53">
                  <c:v>-6.4186217867191111</c:v>
                </c:pt>
                <c:pt idx="54">
                  <c:v>-6.4223896360105392</c:v>
                </c:pt>
                <c:pt idx="55">
                  <c:v>-6.2642421055165043</c:v>
                </c:pt>
                <c:pt idx="56">
                  <c:v>-5.3233202754647655</c:v>
                </c:pt>
                <c:pt idx="57">
                  <c:v>-4.5616332960280754</c:v>
                </c:pt>
                <c:pt idx="58">
                  <c:v>-1.8755912760242064</c:v>
                </c:pt>
                <c:pt idx="59">
                  <c:v>9.8856080621135387</c:v>
                </c:pt>
                <c:pt idx="60">
                  <c:v>51.768704107188967</c:v>
                </c:pt>
                <c:pt idx="61">
                  <c:v>65.013311292354089</c:v>
                </c:pt>
                <c:pt idx="62">
                  <c:v>67.452262686454333</c:v>
                </c:pt>
                <c:pt idx="63">
                  <c:v>69.259758250150057</c:v>
                </c:pt>
                <c:pt idx="64">
                  <c:v>67.667032206089871</c:v>
                </c:pt>
                <c:pt idx="65">
                  <c:v>66.291553517088062</c:v>
                </c:pt>
                <c:pt idx="66">
                  <c:v>72.706397411772926</c:v>
                </c:pt>
                <c:pt idx="67">
                  <c:v>79.949855275141758</c:v>
                </c:pt>
                <c:pt idx="68">
                  <c:v>73.227341726760926</c:v>
                </c:pt>
                <c:pt idx="69">
                  <c:v>64.020570282243881</c:v>
                </c:pt>
                <c:pt idx="70">
                  <c:v>35.497857783315908</c:v>
                </c:pt>
                <c:pt idx="71">
                  <c:v>18.140464340811146</c:v>
                </c:pt>
                <c:pt idx="72">
                  <c:v>13.63770760991615</c:v>
                </c:pt>
                <c:pt idx="73">
                  <c:v>13.722127112262344</c:v>
                </c:pt>
                <c:pt idx="74">
                  <c:v>13.602473828234141</c:v>
                </c:pt>
                <c:pt idx="75">
                  <c:v>13.621433582121833</c:v>
                </c:pt>
                <c:pt idx="76">
                  <c:v>13.308249190339632</c:v>
                </c:pt>
                <c:pt idx="77">
                  <c:v>12.902618453110298</c:v>
                </c:pt>
                <c:pt idx="78">
                  <c:v>12.165919627605916</c:v>
                </c:pt>
                <c:pt idx="79">
                  <c:v>12.406493340349147</c:v>
                </c:pt>
                <c:pt idx="80">
                  <c:v>13.953752697565386</c:v>
                </c:pt>
                <c:pt idx="81">
                  <c:v>20.565288878028436</c:v>
                </c:pt>
                <c:pt idx="82">
                  <c:v>41.175993497711886</c:v>
                </c:pt>
                <c:pt idx="83">
                  <c:v>68.89722060375388</c:v>
                </c:pt>
                <c:pt idx="84">
                  <c:v>65.417754260805864</c:v>
                </c:pt>
                <c:pt idx="85">
                  <c:v>66.814889374512134</c:v>
                </c:pt>
                <c:pt idx="86">
                  <c:v>66.239604363063734</c:v>
                </c:pt>
                <c:pt idx="87">
                  <c:v>72.101664340279697</c:v>
                </c:pt>
                <c:pt idx="88">
                  <c:v>74.005253061520705</c:v>
                </c:pt>
                <c:pt idx="89">
                  <c:v>81.003545896239473</c:v>
                </c:pt>
                <c:pt idx="90">
                  <c:v>82.573359315130915</c:v>
                </c:pt>
                <c:pt idx="91">
                  <c:v>74.320432012996321</c:v>
                </c:pt>
                <c:pt idx="92">
                  <c:v>24.231489845410341</c:v>
                </c:pt>
                <c:pt idx="93">
                  <c:v>9.9743703050910195</c:v>
                </c:pt>
                <c:pt idx="94">
                  <c:v>7.8617409897302242</c:v>
                </c:pt>
                <c:pt idx="95">
                  <c:v>5.9100622325432797</c:v>
                </c:pt>
                <c:pt idx="96">
                  <c:v>5.0605439121544515</c:v>
                </c:pt>
                <c:pt idx="97">
                  <c:v>4.8972584247639297</c:v>
                </c:pt>
                <c:pt idx="98">
                  <c:v>4.8741944107766288</c:v>
                </c:pt>
                <c:pt idx="99">
                  <c:v>5.0829550462565498</c:v>
                </c:pt>
                <c:pt idx="100">
                  <c:v>5.2716975648979023</c:v>
                </c:pt>
                <c:pt idx="101">
                  <c:v>5.2825781418084512</c:v>
                </c:pt>
                <c:pt idx="102">
                  <c:v>5.5580065205594487</c:v>
                </c:pt>
                <c:pt idx="103">
                  <c:v>11.904231411107443</c:v>
                </c:pt>
                <c:pt idx="104">
                  <c:v>29.303862230415113</c:v>
                </c:pt>
                <c:pt idx="105">
                  <c:v>39.502791413461935</c:v>
                </c:pt>
                <c:pt idx="106">
                  <c:v>68.786324492773403</c:v>
                </c:pt>
                <c:pt idx="107">
                  <c:v>87.157614851730642</c:v>
                </c:pt>
                <c:pt idx="108">
                  <c:v>92.768906816215505</c:v>
                </c:pt>
                <c:pt idx="109">
                  <c:v>92.582455242470417</c:v>
                </c:pt>
                <c:pt idx="110">
                  <c:v>76.860932622804455</c:v>
                </c:pt>
                <c:pt idx="111">
                  <c:v>59.701692654766568</c:v>
                </c:pt>
                <c:pt idx="112">
                  <c:v>56.778379943009419</c:v>
                </c:pt>
                <c:pt idx="113">
                  <c:v>58.905039097905174</c:v>
                </c:pt>
                <c:pt idx="114">
                  <c:v>58.167683684553374</c:v>
                </c:pt>
                <c:pt idx="115">
                  <c:v>54.085644137613876</c:v>
                </c:pt>
                <c:pt idx="116">
                  <c:v>45.107887216925526</c:v>
                </c:pt>
                <c:pt idx="117">
                  <c:v>38.983021831113795</c:v>
                </c:pt>
                <c:pt idx="118">
                  <c:v>37.702785945518869</c:v>
                </c:pt>
                <c:pt idx="119">
                  <c:v>37.485391080475743</c:v>
                </c:pt>
                <c:pt idx="120">
                  <c:v>37.817431320966513</c:v>
                </c:pt>
                <c:pt idx="121">
                  <c:v>39.783649277973673</c:v>
                </c:pt>
                <c:pt idx="122">
                  <c:v>47.910178300793163</c:v>
                </c:pt>
                <c:pt idx="123">
                  <c:v>47.563535769765572</c:v>
                </c:pt>
                <c:pt idx="124">
                  <c:v>47.384279741944525</c:v>
                </c:pt>
                <c:pt idx="125">
                  <c:v>48.959252620499512</c:v>
                </c:pt>
                <c:pt idx="126">
                  <c:v>50.853709140363513</c:v>
                </c:pt>
                <c:pt idx="127">
                  <c:v>62.203626770827945</c:v>
                </c:pt>
                <c:pt idx="128">
                  <c:v>67.910048867714224</c:v>
                </c:pt>
                <c:pt idx="129">
                  <c:v>75.183137973259349</c:v>
                </c:pt>
                <c:pt idx="130">
                  <c:v>80.601024250981638</c:v>
                </c:pt>
                <c:pt idx="131">
                  <c:v>77.36683295720475</c:v>
                </c:pt>
                <c:pt idx="132">
                  <c:v>78.604958282683171</c:v>
                </c:pt>
                <c:pt idx="133">
                  <c:v>82.459464971548755</c:v>
                </c:pt>
                <c:pt idx="134">
                  <c:v>84.079514754068498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AB-4166-846D-9E899628D7FA}"/>
            </c:ext>
          </c:extLst>
        </c:ser>
        <c:ser>
          <c:idx val="5"/>
          <c:order val="5"/>
          <c:tx>
            <c:strRef>
              <c:f>'Diferentes médias móveis'!$X$1</c:f>
              <c:strCache>
                <c:ptCount val="1"/>
                <c:pt idx="0">
                  <c:v>N0_24h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'Diferentes médias móveis'!$A$2:$A$1000</c:f>
              <c:numCache>
                <c:formatCode>m/d/yyyy\ h:mm</c:formatCode>
                <c:ptCount val="999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móveis'!$X$2:$X$1000</c:f>
              <c:numCache>
                <c:formatCode>General</c:formatCode>
                <c:ptCount val="999"/>
                <c:pt idx="23">
                  <c:v>14.504945181713985</c:v>
                </c:pt>
                <c:pt idx="24">
                  <c:v>4.9001941306040395</c:v>
                </c:pt>
                <c:pt idx="25">
                  <c:v>2.2738433659952579</c:v>
                </c:pt>
                <c:pt idx="26">
                  <c:v>2.5298663138437303</c:v>
                </c:pt>
                <c:pt idx="27">
                  <c:v>2.5182511916754873</c:v>
                </c:pt>
                <c:pt idx="28">
                  <c:v>2.6683927104757905</c:v>
                </c:pt>
                <c:pt idx="29">
                  <c:v>2.7682825151672099</c:v>
                </c:pt>
                <c:pt idx="30">
                  <c:v>2.8080696896086095</c:v>
                </c:pt>
                <c:pt idx="31">
                  <c:v>2.8948371191905311</c:v>
                </c:pt>
                <c:pt idx="32">
                  <c:v>2.9884463281293252</c:v>
                </c:pt>
                <c:pt idx="33">
                  <c:v>3.0665536297506528</c:v>
                </c:pt>
                <c:pt idx="34">
                  <c:v>3.1844574577573019</c:v>
                </c:pt>
                <c:pt idx="35">
                  <c:v>3.1252679226916285</c:v>
                </c:pt>
                <c:pt idx="36">
                  <c:v>3.0778403802208016</c:v>
                </c:pt>
                <c:pt idx="37">
                  <c:v>2.9768849361185499</c:v>
                </c:pt>
                <c:pt idx="38">
                  <c:v>2.9419006064539079</c:v>
                </c:pt>
                <c:pt idx="39">
                  <c:v>3.1210583520889443</c:v>
                </c:pt>
                <c:pt idx="40">
                  <c:v>3.10970460629474</c:v>
                </c:pt>
                <c:pt idx="41">
                  <c:v>3.2095453585488527</c:v>
                </c:pt>
                <c:pt idx="42">
                  <c:v>3.1438188666028668</c:v>
                </c:pt>
                <c:pt idx="43">
                  <c:v>2.4762109755191735</c:v>
                </c:pt>
                <c:pt idx="44">
                  <c:v>0.19811924766653249</c:v>
                </c:pt>
                <c:pt idx="45">
                  <c:v>-0.65084697274485759</c:v>
                </c:pt>
                <c:pt idx="46">
                  <c:v>-2.1392671380953576</c:v>
                </c:pt>
                <c:pt idx="47">
                  <c:v>-3.1379339619777458</c:v>
                </c:pt>
                <c:pt idx="48">
                  <c:v>-2.679238486953532</c:v>
                </c:pt>
                <c:pt idx="49">
                  <c:v>-2.0222512037666727</c:v>
                </c:pt>
                <c:pt idx="50">
                  <c:v>-1.635565054855928</c:v>
                </c:pt>
                <c:pt idx="51">
                  <c:v>-1.4154497630485943</c:v>
                </c:pt>
                <c:pt idx="52">
                  <c:v>-1.2609654842062863</c:v>
                </c:pt>
                <c:pt idx="53">
                  <c:v>-1.212443084376684</c:v>
                </c:pt>
                <c:pt idx="54">
                  <c:v>-1.1930305899797711</c:v>
                </c:pt>
                <c:pt idx="55">
                  <c:v>-1.2074404122603466</c:v>
                </c:pt>
                <c:pt idx="56">
                  <c:v>-1.1447050793044242</c:v>
                </c:pt>
                <c:pt idx="57">
                  <c:v>-1.2209780751672741</c:v>
                </c:pt>
                <c:pt idx="58">
                  <c:v>-1.2107760674334416</c:v>
                </c:pt>
                <c:pt idx="59">
                  <c:v>-1.154406400304929</c:v>
                </c:pt>
                <c:pt idx="60">
                  <c:v>-1.1739645214766739</c:v>
                </c:pt>
                <c:pt idx="61">
                  <c:v>-1.1579870725400385</c:v>
                </c:pt>
                <c:pt idx="62">
                  <c:v>-1.1392136715299526</c:v>
                </c:pt>
                <c:pt idx="63">
                  <c:v>-1.1366772107841858</c:v>
                </c:pt>
                <c:pt idx="64">
                  <c:v>-1.1836111222583017</c:v>
                </c:pt>
                <c:pt idx="65">
                  <c:v>-1.1785803629604228</c:v>
                </c:pt>
                <c:pt idx="66">
                  <c:v>-1.1771121338110535</c:v>
                </c:pt>
                <c:pt idx="67">
                  <c:v>-0.86459139719659994</c:v>
                </c:pt>
                <c:pt idx="68">
                  <c:v>0.78278623309211703</c:v>
                </c:pt>
                <c:pt idx="69">
                  <c:v>1.4457748239013732</c:v>
                </c:pt>
                <c:pt idx="70">
                  <c:v>4.1808007142098216</c:v>
                </c:pt>
                <c:pt idx="71">
                  <c:v>13.218041314064788</c:v>
                </c:pt>
                <c:pt idx="72">
                  <c:v>26.226090060223772</c:v>
                </c:pt>
                <c:pt idx="73">
                  <c:v>28.398054168213356</c:v>
                </c:pt>
                <c:pt idx="74">
                  <c:v>28.828840100119642</c:v>
                </c:pt>
                <c:pt idx="75">
                  <c:v>28.170597603697168</c:v>
                </c:pt>
                <c:pt idx="76">
                  <c:v>27.762788718744847</c:v>
                </c:pt>
                <c:pt idx="77">
                  <c:v>27.000976369805109</c:v>
                </c:pt>
                <c:pt idx="78">
                  <c:v>27.47360217512486</c:v>
                </c:pt>
                <c:pt idx="79">
                  <c:v>28.155113249451126</c:v>
                </c:pt>
                <c:pt idx="80">
                  <c:v>27.744588888630496</c:v>
                </c:pt>
                <c:pt idx="81">
                  <c:v>28.739390107472406</c:v>
                </c:pt>
                <c:pt idx="82">
                  <c:v>28.944433261923642</c:v>
                </c:pt>
                <c:pt idx="83">
                  <c:v>28.148922891809807</c:v>
                </c:pt>
                <c:pt idx="84">
                  <c:v>28.618626466371307</c:v>
                </c:pt>
                <c:pt idx="85">
                  <c:v>28.682095778672235</c:v>
                </c:pt>
                <c:pt idx="86">
                  <c:v>28.47655101357061</c:v>
                </c:pt>
                <c:pt idx="87">
                  <c:v>28.435694145787622</c:v>
                </c:pt>
                <c:pt idx="88">
                  <c:v>28.441974381132901</c:v>
                </c:pt>
                <c:pt idx="89">
                  <c:v>28.36048507629042</c:v>
                </c:pt>
                <c:pt idx="90">
                  <c:v>27.644790654815544</c:v>
                </c:pt>
                <c:pt idx="91">
                  <c:v>18.896185379067099</c:v>
                </c:pt>
                <c:pt idx="92">
                  <c:v>13.42177245565726</c:v>
                </c:pt>
                <c:pt idx="93">
                  <c:v>14.376449798084545</c:v>
                </c:pt>
                <c:pt idx="94">
                  <c:v>16.213080990960442</c:v>
                </c:pt>
                <c:pt idx="95">
                  <c:v>17.595647890535908</c:v>
                </c:pt>
                <c:pt idx="96">
                  <c:v>17.346160755508421</c:v>
                </c:pt>
                <c:pt idx="97">
                  <c:v>17.279156083209202</c:v>
                </c:pt>
                <c:pt idx="98">
                  <c:v>17.540756396342477</c:v>
                </c:pt>
                <c:pt idx="99">
                  <c:v>18.008042919777839</c:v>
                </c:pt>
                <c:pt idx="100">
                  <c:v>18.248242183573222</c:v>
                </c:pt>
                <c:pt idx="101">
                  <c:v>18.758579695386928</c:v>
                </c:pt>
                <c:pt idx="102">
                  <c:v>18.520744134869719</c:v>
                </c:pt>
                <c:pt idx="103">
                  <c:v>18.483532504154539</c:v>
                </c:pt>
                <c:pt idx="104">
                  <c:v>18.495926126832874</c:v>
                </c:pt>
                <c:pt idx="105">
                  <c:v>18.718978694829268</c:v>
                </c:pt>
                <c:pt idx="106">
                  <c:v>18.517196191091511</c:v>
                </c:pt>
                <c:pt idx="107">
                  <c:v>18.708196405387529</c:v>
                </c:pt>
                <c:pt idx="108">
                  <c:v>18.531393000266906</c:v>
                </c:pt>
                <c:pt idx="109">
                  <c:v>18.151002424848116</c:v>
                </c:pt>
                <c:pt idx="110">
                  <c:v>17.19948451098081</c:v>
                </c:pt>
                <c:pt idx="111">
                  <c:v>17.097695512754829</c:v>
                </c:pt>
                <c:pt idx="112">
                  <c:v>17.398674268766957</c:v>
                </c:pt>
                <c:pt idx="113">
                  <c:v>17.057502882068921</c:v>
                </c:pt>
                <c:pt idx="114">
                  <c:v>17.07195920752353</c:v>
                </c:pt>
                <c:pt idx="115">
                  <c:v>23.456063738332254</c:v>
                </c:pt>
                <c:pt idx="116">
                  <c:v>36.513502734613418</c:v>
                </c:pt>
                <c:pt idx="117">
                  <c:v>41.250087774271634</c:v>
                </c:pt>
                <c:pt idx="118">
                  <c:v>50.479537934367968</c:v>
                </c:pt>
                <c:pt idx="119">
                  <c:v>55.543000238430061</c:v>
                </c:pt>
                <c:pt idx="120">
                  <c:v>56.476034873134175</c:v>
                </c:pt>
                <c:pt idx="121">
                  <c:v>57.146618575654543</c:v>
                </c:pt>
                <c:pt idx="122">
                  <c:v>54.773285554506437</c:v>
                </c:pt>
                <c:pt idx="123">
                  <c:v>54.903234917383557</c:v>
                </c:pt>
                <c:pt idx="124">
                  <c:v>53.911363028130012</c:v>
                </c:pt>
                <c:pt idx="125">
                  <c:v>53.096205694212998</c:v>
                </c:pt>
                <c:pt idx="126">
                  <c:v>54.10566514614996</c:v>
                </c:pt>
                <c:pt idx="127">
                  <c:v>53.576173566553273</c:v>
                </c:pt>
                <c:pt idx="128">
                  <c:v>54.03795100942034</c:v>
                </c:pt>
                <c:pt idx="129">
                  <c:v>53.426456478546804</c:v>
                </c:pt>
                <c:pt idx="130">
                  <c:v>53.318755190736631</c:v>
                </c:pt>
                <c:pt idx="131">
                  <c:v>53.426456478546804</c:v>
                </c:pt>
                <c:pt idx="132">
                  <c:v>54.981449437082176</c:v>
                </c:pt>
                <c:pt idx="133">
                  <c:v>56.539768972796708</c:v>
                </c:pt>
                <c:pt idx="134">
                  <c:v>62.153108816395566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AB-4166-846D-9E899628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592168"/>
        <c:axId val="572595048"/>
      </c:scatterChart>
      <c:valAx>
        <c:axId val="572592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2595048"/>
        <c:crosses val="autoZero"/>
        <c:crossBetween val="midCat"/>
        <c:majorUnit val="0.5"/>
      </c:valAx>
      <c:valAx>
        <c:axId val="5725950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2592168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Diferentes Médias Móveis 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'Diferentes médias móveis'!$E$1</c:f>
              <c:strCache>
                <c:ptCount val="1"/>
                <c:pt idx="0">
                  <c:v>UTS_4h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móveis'!$E$2:$E$136</c:f>
              <c:numCache>
                <c:formatCode>General</c:formatCode>
                <c:ptCount val="135"/>
                <c:pt idx="3">
                  <c:v>14.709094446912241</c:v>
                </c:pt>
                <c:pt idx="4">
                  <c:v>-33.977295857428949</c:v>
                </c:pt>
                <c:pt idx="5">
                  <c:v>-39.472324388463946</c:v>
                </c:pt>
                <c:pt idx="6">
                  <c:v>-28.95904677184587</c:v>
                </c:pt>
                <c:pt idx="7">
                  <c:v>12.782027036049531</c:v>
                </c:pt>
                <c:pt idx="8">
                  <c:v>17.84550770354241</c:v>
                </c:pt>
                <c:pt idx="9">
                  <c:v>22.761285961447768</c:v>
                </c:pt>
                <c:pt idx="10">
                  <c:v>22.56455974898137</c:v>
                </c:pt>
                <c:pt idx="11">
                  <c:v>27.92656918176651</c:v>
                </c:pt>
                <c:pt idx="12">
                  <c:v>39.494659290817339</c:v>
                </c:pt>
                <c:pt idx="13">
                  <c:v>46.774782666196877</c:v>
                </c:pt>
                <c:pt idx="14">
                  <c:v>70.678587841337162</c:v>
                </c:pt>
                <c:pt idx="15">
                  <c:v>46.374178095716061</c:v>
                </c:pt>
                <c:pt idx="16">
                  <c:v>47.629815496466023</c:v>
                </c:pt>
                <c:pt idx="17">
                  <c:v>37.79250238926749</c:v>
                </c:pt>
                <c:pt idx="18">
                  <c:v>39.301714415643239</c:v>
                </c:pt>
                <c:pt idx="19">
                  <c:v>62.00917646542937</c:v>
                </c:pt>
                <c:pt idx="20">
                  <c:v>53.974792657644088</c:v>
                </c:pt>
                <c:pt idx="21">
                  <c:v>35.956442222834177</c:v>
                </c:pt>
                <c:pt idx="22">
                  <c:v>-29.075681161874371</c:v>
                </c:pt>
                <c:pt idx="23">
                  <c:v>-54.130552141997498</c:v>
                </c:pt>
                <c:pt idx="24">
                  <c:v>-184.37371539271942</c:v>
                </c:pt>
                <c:pt idx="25">
                  <c:v>-267.13068907344478</c:v>
                </c:pt>
                <c:pt idx="26">
                  <c:v>-271.97789157789271</c:v>
                </c:pt>
                <c:pt idx="27">
                  <c:v>-148.8691704500043</c:v>
                </c:pt>
                <c:pt idx="28">
                  <c:v>-50.573088421465876</c:v>
                </c:pt>
                <c:pt idx="29">
                  <c:v>-35.329910090250635</c:v>
                </c:pt>
                <c:pt idx="30">
                  <c:v>-26.345780304837902</c:v>
                </c:pt>
                <c:pt idx="31">
                  <c:v>19.945002261261262</c:v>
                </c:pt>
                <c:pt idx="32">
                  <c:v>27.426335720637663</c:v>
                </c:pt>
                <c:pt idx="33">
                  <c:v>35.713735096140546</c:v>
                </c:pt>
                <c:pt idx="34">
                  <c:v>40.443681972470607</c:v>
                </c:pt>
                <c:pt idx="35">
                  <c:v>40.919917688875927</c:v>
                </c:pt>
                <c:pt idx="36">
                  <c:v>47.814790118998864</c:v>
                </c:pt>
                <c:pt idx="37">
                  <c:v>40.627498431888462</c:v>
                </c:pt>
                <c:pt idx="38">
                  <c:v>42.217202427564956</c:v>
                </c:pt>
                <c:pt idx="39">
                  <c:v>47.388645620321782</c:v>
                </c:pt>
                <c:pt idx="40">
                  <c:v>52.346599296587002</c:v>
                </c:pt>
                <c:pt idx="41">
                  <c:v>61.053684988173998</c:v>
                </c:pt>
                <c:pt idx="42">
                  <c:v>58.221448246237543</c:v>
                </c:pt>
                <c:pt idx="43">
                  <c:v>18.92110209587829</c:v>
                </c:pt>
                <c:pt idx="44">
                  <c:v>-49.982374866719731</c:v>
                </c:pt>
                <c:pt idx="45">
                  <c:v>-62.089768889063265</c:v>
                </c:pt>
                <c:pt idx="46">
                  <c:v>-233.67336722283011</c:v>
                </c:pt>
                <c:pt idx="47">
                  <c:v>-484.37717461836468</c:v>
                </c:pt>
                <c:pt idx="48">
                  <c:v>-488.8762000698905</c:v>
                </c:pt>
                <c:pt idx="49">
                  <c:v>-418.82883974974482</c:v>
                </c:pt>
                <c:pt idx="50">
                  <c:v>-210.45001079645539</c:v>
                </c:pt>
                <c:pt idx="51">
                  <c:v>-49.619339198662331</c:v>
                </c:pt>
                <c:pt idx="52">
                  <c:v>24.778890713779518</c:v>
                </c:pt>
                <c:pt idx="53">
                  <c:v>42.449800173945803</c:v>
                </c:pt>
                <c:pt idx="54">
                  <c:v>43.628080912516246</c:v>
                </c:pt>
                <c:pt idx="55">
                  <c:v>37.656493468494503</c:v>
                </c:pt>
                <c:pt idx="56">
                  <c:v>40.054901499808437</c:v>
                </c:pt>
                <c:pt idx="57">
                  <c:v>34.92831706675301</c:v>
                </c:pt>
                <c:pt idx="58">
                  <c:v>38.093342022527686</c:v>
                </c:pt>
                <c:pt idx="59">
                  <c:v>50.297575417811444</c:v>
                </c:pt>
                <c:pt idx="60">
                  <c:v>42.513573625117012</c:v>
                </c:pt>
                <c:pt idx="61">
                  <c:v>51.3334791085327</c:v>
                </c:pt>
                <c:pt idx="62">
                  <c:v>55.639777193382891</c:v>
                </c:pt>
                <c:pt idx="63">
                  <c:v>50.154865766429836</c:v>
                </c:pt>
                <c:pt idx="64">
                  <c:v>49.599509840248615</c:v>
                </c:pt>
                <c:pt idx="65">
                  <c:v>55.267157554352906</c:v>
                </c:pt>
                <c:pt idx="66">
                  <c:v>49.441125053652968</c:v>
                </c:pt>
                <c:pt idx="67">
                  <c:v>43.016740829124352</c:v>
                </c:pt>
                <c:pt idx="68">
                  <c:v>28.325657003666581</c:v>
                </c:pt>
                <c:pt idx="69">
                  <c:v>-29.236848562014263</c:v>
                </c:pt>
                <c:pt idx="70">
                  <c:v>-41.756365885959355</c:v>
                </c:pt>
                <c:pt idx="71">
                  <c:v>-46.996768948018122</c:v>
                </c:pt>
                <c:pt idx="72">
                  <c:v>-45.208011256576754</c:v>
                </c:pt>
                <c:pt idx="73">
                  <c:v>-35.878558459168232</c:v>
                </c:pt>
                <c:pt idx="74">
                  <c:v>15.59568273501257</c:v>
                </c:pt>
                <c:pt idx="75">
                  <c:v>35.645417561312598</c:v>
                </c:pt>
                <c:pt idx="76">
                  <c:v>37.319201515663039</c:v>
                </c:pt>
                <c:pt idx="77">
                  <c:v>31.924869523065851</c:v>
                </c:pt>
                <c:pt idx="78">
                  <c:v>33.200867049020786</c:v>
                </c:pt>
                <c:pt idx="79">
                  <c:v>38.02199825316049</c:v>
                </c:pt>
                <c:pt idx="80">
                  <c:v>40.079666606734129</c:v>
                </c:pt>
                <c:pt idx="81">
                  <c:v>53.687716223061166</c:v>
                </c:pt>
                <c:pt idx="82">
                  <c:v>55.15002456815423</c:v>
                </c:pt>
                <c:pt idx="83">
                  <c:v>49.639231101147409</c:v>
                </c:pt>
                <c:pt idx="84">
                  <c:v>53.027112327337363</c:v>
                </c:pt>
                <c:pt idx="85">
                  <c:v>48.58124288554486</c:v>
                </c:pt>
                <c:pt idx="86">
                  <c:v>47.00798763717755</c:v>
                </c:pt>
                <c:pt idx="87">
                  <c:v>51.641491386023432</c:v>
                </c:pt>
                <c:pt idx="88">
                  <c:v>45.991457025166397</c:v>
                </c:pt>
                <c:pt idx="89">
                  <c:v>49.13380478620585</c:v>
                </c:pt>
                <c:pt idx="90">
                  <c:v>39.572588635408827</c:v>
                </c:pt>
                <c:pt idx="91">
                  <c:v>-33.033312337186821</c:v>
                </c:pt>
                <c:pt idx="92">
                  <c:v>-47.198106596818</c:v>
                </c:pt>
                <c:pt idx="93">
                  <c:v>-50.503454621152265</c:v>
                </c:pt>
                <c:pt idx="94">
                  <c:v>-53.473495157210515</c:v>
                </c:pt>
                <c:pt idx="95">
                  <c:v>-45.267206635053306</c:v>
                </c:pt>
                <c:pt idx="96">
                  <c:v>-30.896901421588506</c:v>
                </c:pt>
                <c:pt idx="97">
                  <c:v>12.41379564767054</c:v>
                </c:pt>
                <c:pt idx="98">
                  <c:v>29.505711160161617</c:v>
                </c:pt>
                <c:pt idx="99">
                  <c:v>49.839842411763499</c:v>
                </c:pt>
                <c:pt idx="100">
                  <c:v>63.390308368229611</c:v>
                </c:pt>
                <c:pt idx="101">
                  <c:v>65.991811978164321</c:v>
                </c:pt>
                <c:pt idx="102">
                  <c:v>50.44910668046969</c:v>
                </c:pt>
                <c:pt idx="103">
                  <c:v>47.834157372184499</c:v>
                </c:pt>
                <c:pt idx="104">
                  <c:v>45.044858423072768</c:v>
                </c:pt>
                <c:pt idx="105">
                  <c:v>54.243201179217316</c:v>
                </c:pt>
                <c:pt idx="106">
                  <c:v>56.455853790863387</c:v>
                </c:pt>
                <c:pt idx="107">
                  <c:v>56.528198229832817</c:v>
                </c:pt>
                <c:pt idx="108">
                  <c:v>55.45573827322319</c:v>
                </c:pt>
                <c:pt idx="109">
                  <c:v>39.208283423675013</c:v>
                </c:pt>
                <c:pt idx="110">
                  <c:v>28.26229296377284</c:v>
                </c:pt>
                <c:pt idx="111">
                  <c:v>26.735248539533359</c:v>
                </c:pt>
                <c:pt idx="112">
                  <c:v>28.784149324619918</c:v>
                </c:pt>
                <c:pt idx="113">
                  <c:v>30.51593342961668</c:v>
                </c:pt>
                <c:pt idx="114">
                  <c:v>39.59971938806828</c:v>
                </c:pt>
                <c:pt idx="115">
                  <c:v>28.531318210599434</c:v>
                </c:pt>
                <c:pt idx="116">
                  <c:v>22.392566208996961</c:v>
                </c:pt>
                <c:pt idx="117">
                  <c:v>21.774985112472688</c:v>
                </c:pt>
                <c:pt idx="118">
                  <c:v>24.254794436991499</c:v>
                </c:pt>
                <c:pt idx="119">
                  <c:v>34.585780377531513</c:v>
                </c:pt>
                <c:pt idx="120">
                  <c:v>41.19752851177747</c:v>
                </c:pt>
                <c:pt idx="121">
                  <c:v>50.178020496421517</c:v>
                </c:pt>
                <c:pt idx="122">
                  <c:v>48.218346235461141</c:v>
                </c:pt>
                <c:pt idx="123">
                  <c:v>54.297394202334672</c:v>
                </c:pt>
                <c:pt idx="124">
                  <c:v>53.914616970599319</c:v>
                </c:pt>
                <c:pt idx="125">
                  <c:v>44.676137877867838</c:v>
                </c:pt>
                <c:pt idx="126">
                  <c:v>49.057006847454069</c:v>
                </c:pt>
                <c:pt idx="127">
                  <c:v>43.195683823439964</c:v>
                </c:pt>
                <c:pt idx="128">
                  <c:v>46.510000811329178</c:v>
                </c:pt>
                <c:pt idx="129">
                  <c:v>58.209322083946581</c:v>
                </c:pt>
                <c:pt idx="130">
                  <c:v>55.020471309307261</c:v>
                </c:pt>
                <c:pt idx="131">
                  <c:v>60.062121532728561</c:v>
                </c:pt>
                <c:pt idx="132">
                  <c:v>68.390018636452211</c:v>
                </c:pt>
                <c:pt idx="133">
                  <c:v>57.299028386116525</c:v>
                </c:pt>
                <c:pt idx="134">
                  <c:v>62.091770282528337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4-4CB5-868F-AD9125347615}"/>
            </c:ext>
          </c:extLst>
        </c:ser>
        <c:ser>
          <c:idx val="1"/>
          <c:order val="1"/>
          <c:tx>
            <c:strRef>
              <c:f>'Diferentes médias móveis'!$I$1</c:f>
              <c:strCache>
                <c:ptCount val="1"/>
                <c:pt idx="0">
                  <c:v>UTS_6h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móveis'!$A$2:$A$669</c:f>
              <c:numCache>
                <c:formatCode>m/d/yyyy\ h:mm</c:formatCode>
                <c:ptCount val="668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móveis'!$I$2:$I$669</c:f>
              <c:numCache>
                <c:formatCode>General</c:formatCode>
                <c:ptCount val="668"/>
                <c:pt idx="5">
                  <c:v>13.235131359945429</c:v>
                </c:pt>
                <c:pt idx="6">
                  <c:v>-29.473360162990542</c:v>
                </c:pt>
                <c:pt idx="7">
                  <c:v>-33.5811161922867</c:v>
                </c:pt>
                <c:pt idx="8">
                  <c:v>-26.414754601796041</c:v>
                </c:pt>
                <c:pt idx="9">
                  <c:v>15.996832682749721</c:v>
                </c:pt>
                <c:pt idx="10">
                  <c:v>20.543170945674529</c:v>
                </c:pt>
                <c:pt idx="11">
                  <c:v>25.018709077111168</c:v>
                </c:pt>
                <c:pt idx="12">
                  <c:v>29.904934402932849</c:v>
                </c:pt>
                <c:pt idx="13">
                  <c:v>37.425373074403687</c:v>
                </c:pt>
                <c:pt idx="14">
                  <c:v>47.569573228413994</c:v>
                </c:pt>
                <c:pt idx="15">
                  <c:v>39.631845341806901</c:v>
                </c:pt>
                <c:pt idx="16">
                  <c:v>52.436512770523215</c:v>
                </c:pt>
                <c:pt idx="17">
                  <c:v>47.981336625254521</c:v>
                </c:pt>
                <c:pt idx="18">
                  <c:v>47.207219796827133</c:v>
                </c:pt>
                <c:pt idx="19">
                  <c:v>45.224176548560763</c:v>
                </c:pt>
                <c:pt idx="20">
                  <c:v>43.30119412103582</c:v>
                </c:pt>
                <c:pt idx="21">
                  <c:v>37.979004780648118</c:v>
                </c:pt>
                <c:pt idx="22">
                  <c:v>14.25389437023918</c:v>
                </c:pt>
                <c:pt idx="23">
                  <c:v>-44.575574660448538</c:v>
                </c:pt>
                <c:pt idx="24">
                  <c:v>-67.375111485943364</c:v>
                </c:pt>
                <c:pt idx="25">
                  <c:v>-111.23213870745209</c:v>
                </c:pt>
                <c:pt idx="26">
                  <c:v>-143.7609452081021</c:v>
                </c:pt>
                <c:pt idx="27">
                  <c:v>-147.17567453885269</c:v>
                </c:pt>
                <c:pt idx="28">
                  <c:v>-111.7884817450103</c:v>
                </c:pt>
                <c:pt idx="29">
                  <c:v>-59.355283576688997</c:v>
                </c:pt>
                <c:pt idx="30">
                  <c:v>-41.579421747849722</c:v>
                </c:pt>
                <c:pt idx="31">
                  <c:v>-29.4600888324333</c:v>
                </c:pt>
                <c:pt idx="32">
                  <c:v>16.47485166931391</c:v>
                </c:pt>
                <c:pt idx="33">
                  <c:v>26.02104595419792</c:v>
                </c:pt>
                <c:pt idx="34">
                  <c:v>34.085509656244291</c:v>
                </c:pt>
                <c:pt idx="35">
                  <c:v>36.406003879565191</c:v>
                </c:pt>
                <c:pt idx="36">
                  <c:v>41.224120498177122</c:v>
                </c:pt>
                <c:pt idx="37">
                  <c:v>42.444393434880737</c:v>
                </c:pt>
                <c:pt idx="38">
                  <c:v>46.016008261465061</c:v>
                </c:pt>
                <c:pt idx="39">
                  <c:v>43.537670820500388</c:v>
                </c:pt>
                <c:pt idx="40">
                  <c:v>48.66677167192443</c:v>
                </c:pt>
                <c:pt idx="41">
                  <c:v>54.647850658365002</c:v>
                </c:pt>
                <c:pt idx="42">
                  <c:v>50.697295074146432</c:v>
                </c:pt>
                <c:pt idx="43">
                  <c:v>24.046624425264572</c:v>
                </c:pt>
                <c:pt idx="44">
                  <c:v>-41.081389662853404</c:v>
                </c:pt>
                <c:pt idx="45">
                  <c:v>-50.648707450753292</c:v>
                </c:pt>
                <c:pt idx="46">
                  <c:v>-86.833218617149413</c:v>
                </c:pt>
                <c:pt idx="47">
                  <c:v>-266.65709194752367</c:v>
                </c:pt>
                <c:pt idx="48">
                  <c:v>-368.60358881221612</c:v>
                </c:pt>
                <c:pt idx="49">
                  <c:v>-357.11641645862971</c:v>
                </c:pt>
                <c:pt idx="50">
                  <c:v>-252.35572767586228</c:v>
                </c:pt>
                <c:pt idx="51">
                  <c:v>-189.18761160291652</c:v>
                </c:pt>
                <c:pt idx="52">
                  <c:v>-68.28290219805406</c:v>
                </c:pt>
                <c:pt idx="53">
                  <c:v>-38.561743458975826</c:v>
                </c:pt>
                <c:pt idx="54">
                  <c:v>30.221112077110018</c:v>
                </c:pt>
                <c:pt idx="55">
                  <c:v>38.475577769717788</c:v>
                </c:pt>
                <c:pt idx="56">
                  <c:v>44.447736814982207</c:v>
                </c:pt>
                <c:pt idx="57">
                  <c:v>39.636635400926515</c:v>
                </c:pt>
                <c:pt idx="58">
                  <c:v>38.202720854592847</c:v>
                </c:pt>
                <c:pt idx="59">
                  <c:v>41.725423912248601</c:v>
                </c:pt>
                <c:pt idx="60">
                  <c:v>42.920024154159591</c:v>
                </c:pt>
                <c:pt idx="61">
                  <c:v>47.67874480722439</c:v>
                </c:pt>
                <c:pt idx="62">
                  <c:v>46.096561876501049</c:v>
                </c:pt>
                <c:pt idx="63">
                  <c:v>53.808307901318784</c:v>
                </c:pt>
                <c:pt idx="64">
                  <c:v>51.778875267838785</c:v>
                </c:pt>
                <c:pt idx="65">
                  <c:v>50.86697967424395</c:v>
                </c:pt>
                <c:pt idx="66">
                  <c:v>50.496117803474228</c:v>
                </c:pt>
                <c:pt idx="67">
                  <c:v>45.782344259346992</c:v>
                </c:pt>
                <c:pt idx="68">
                  <c:v>30.970362008197476</c:v>
                </c:pt>
                <c:pt idx="69">
                  <c:v>14.21102750501039</c:v>
                </c:pt>
                <c:pt idx="70">
                  <c:v>-34.422994563217514</c:v>
                </c:pt>
                <c:pt idx="71">
                  <c:v>-39.281372459981959</c:v>
                </c:pt>
                <c:pt idx="72">
                  <c:v>-39.389296727213342</c:v>
                </c:pt>
                <c:pt idx="73">
                  <c:v>-36.84983570956966</c:v>
                </c:pt>
                <c:pt idx="74">
                  <c:v>-36.72196424907866</c:v>
                </c:pt>
                <c:pt idx="75">
                  <c:v>-30.971608215090203</c:v>
                </c:pt>
                <c:pt idx="76">
                  <c:v>21.049069393770008</c:v>
                </c:pt>
                <c:pt idx="77">
                  <c:v>36.67953914119385</c:v>
                </c:pt>
                <c:pt idx="78">
                  <c:v>38.348405774174502</c:v>
                </c:pt>
                <c:pt idx="79">
                  <c:v>37.55117386260315</c:v>
                </c:pt>
                <c:pt idx="80">
                  <c:v>37.510992723629023</c:v>
                </c:pt>
                <c:pt idx="81">
                  <c:v>42.682129815581774</c:v>
                </c:pt>
                <c:pt idx="82">
                  <c:v>45.551456352925399</c:v>
                </c:pt>
                <c:pt idx="83">
                  <c:v>50.796461215337715</c:v>
                </c:pt>
                <c:pt idx="84">
                  <c:v>51.990539189206764</c:v>
                </c:pt>
                <c:pt idx="85">
                  <c:v>50.498893086009829</c:v>
                </c:pt>
                <c:pt idx="86">
                  <c:v>50.850086174189777</c:v>
                </c:pt>
                <c:pt idx="87">
                  <c:v>48.225141327453194</c:v>
                </c:pt>
                <c:pt idx="88">
                  <c:v>45.978902097407598</c:v>
                </c:pt>
                <c:pt idx="89">
                  <c:v>51.627084591025927</c:v>
                </c:pt>
                <c:pt idx="90">
                  <c:v>42.177206079662149</c:v>
                </c:pt>
                <c:pt idx="91">
                  <c:v>-27.31604595965193</c:v>
                </c:pt>
                <c:pt idx="92">
                  <c:v>-38.902056575622865</c:v>
                </c:pt>
                <c:pt idx="93">
                  <c:v>-41.641450752373835</c:v>
                </c:pt>
                <c:pt idx="94">
                  <c:v>-44.570983874451741</c:v>
                </c:pt>
                <c:pt idx="95">
                  <c:v>-45.84925564445394</c:v>
                </c:pt>
                <c:pt idx="96">
                  <c:v>-45.99476141334241</c:v>
                </c:pt>
                <c:pt idx="97">
                  <c:v>-37.821852303252911</c:v>
                </c:pt>
                <c:pt idx="98">
                  <c:v>12.854681151631258</c:v>
                </c:pt>
                <c:pt idx="99">
                  <c:v>19.526062795315312</c:v>
                </c:pt>
                <c:pt idx="100">
                  <c:v>37.45315919781266</c:v>
                </c:pt>
                <c:pt idx="101">
                  <c:v>53.019176639227879</c:v>
                </c:pt>
                <c:pt idx="102">
                  <c:v>55.137397877728525</c:v>
                </c:pt>
                <c:pt idx="103">
                  <c:v>56.385536914609688</c:v>
                </c:pt>
                <c:pt idx="104">
                  <c:v>50.64582152530167</c:v>
                </c:pt>
                <c:pt idx="105">
                  <c:v>55.344679988435587</c:v>
                </c:pt>
                <c:pt idx="106">
                  <c:v>50.821875109225488</c:v>
                </c:pt>
                <c:pt idx="107">
                  <c:v>50.690676774401958</c:v>
                </c:pt>
                <c:pt idx="108">
                  <c:v>53.536789821069775</c:v>
                </c:pt>
                <c:pt idx="109">
                  <c:v>47.210922103221897</c:v>
                </c:pt>
                <c:pt idx="110">
                  <c:v>35.600902609446869</c:v>
                </c:pt>
                <c:pt idx="111">
                  <c:v>30.906475270394061</c:v>
                </c:pt>
                <c:pt idx="112">
                  <c:v>33.278988311864225</c:v>
                </c:pt>
                <c:pt idx="113">
                  <c:v>31.802350592947182</c:v>
                </c:pt>
                <c:pt idx="114">
                  <c:v>30.006338998237332</c:v>
                </c:pt>
                <c:pt idx="115">
                  <c:v>26.196908071267782</c:v>
                </c:pt>
                <c:pt idx="116">
                  <c:v>28.760071830503549</c:v>
                </c:pt>
                <c:pt idx="117">
                  <c:v>27.269456040889771</c:v>
                </c:pt>
                <c:pt idx="118">
                  <c:v>26.002366751698542</c:v>
                </c:pt>
                <c:pt idx="119">
                  <c:v>27.71050325007166</c:v>
                </c:pt>
                <c:pt idx="120">
                  <c:v>29.47656936882818</c:v>
                </c:pt>
                <c:pt idx="121">
                  <c:v>38.792463810300347</c:v>
                </c:pt>
                <c:pt idx="122">
                  <c:v>43.385985251108359</c:v>
                </c:pt>
                <c:pt idx="123">
                  <c:v>53.20362244573883</c:v>
                </c:pt>
                <c:pt idx="124">
                  <c:v>52.786044307270267</c:v>
                </c:pt>
                <c:pt idx="125">
                  <c:v>46.906487505823719</c:v>
                </c:pt>
                <c:pt idx="126">
                  <c:v>48.834433948123312</c:v>
                </c:pt>
                <c:pt idx="127">
                  <c:v>45.566948055243564</c:v>
                </c:pt>
                <c:pt idx="128">
                  <c:v>49.19216829058746</c:v>
                </c:pt>
                <c:pt idx="129">
                  <c:v>51.342068270454554</c:v>
                </c:pt>
                <c:pt idx="130">
                  <c:v>51.773529746138955</c:v>
                </c:pt>
                <c:pt idx="131">
                  <c:v>55.912652630593804</c:v>
                </c:pt>
                <c:pt idx="132">
                  <c:v>62.656343736265583</c:v>
                </c:pt>
                <c:pt idx="133">
                  <c:v>63.934770782009608</c:v>
                </c:pt>
                <c:pt idx="134">
                  <c:v>61.28479844299676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4-4CB5-868F-AD9125347615}"/>
            </c:ext>
          </c:extLst>
        </c:ser>
        <c:ser>
          <c:idx val="2"/>
          <c:order val="2"/>
          <c:tx>
            <c:strRef>
              <c:f>'Diferentes médias móveis'!$M$1</c:f>
              <c:strCache>
                <c:ptCount val="1"/>
                <c:pt idx="0">
                  <c:v>UTS_8h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móveis'!$M$2:$M$136</c:f>
              <c:numCache>
                <c:formatCode>General</c:formatCode>
                <c:ptCount val="135"/>
                <c:pt idx="7">
                  <c:v>15.076285698191299</c:v>
                </c:pt>
                <c:pt idx="8">
                  <c:v>-27.352533225780828</c:v>
                </c:pt>
                <c:pt idx="9">
                  <c:v>-30.049654155620491</c:v>
                </c:pt>
                <c:pt idx="10">
                  <c:v>14.181087449357479</c:v>
                </c:pt>
                <c:pt idx="11">
                  <c:v>18.573512508414669</c:v>
                </c:pt>
                <c:pt idx="12">
                  <c:v>25.688251160102531</c:v>
                </c:pt>
                <c:pt idx="13">
                  <c:v>31.514977518890642</c:v>
                </c:pt>
                <c:pt idx="14">
                  <c:v>36.014468430862415</c:v>
                </c:pt>
                <c:pt idx="15">
                  <c:v>35.294610453189378</c:v>
                </c:pt>
                <c:pt idx="16">
                  <c:v>43.4674410231978</c:v>
                </c:pt>
                <c:pt idx="17">
                  <c:v>42.276086706195798</c:v>
                </c:pt>
                <c:pt idx="18">
                  <c:v>50.576919939152084</c:v>
                </c:pt>
                <c:pt idx="19">
                  <c:v>51.623184239653916</c:v>
                </c:pt>
                <c:pt idx="20">
                  <c:v>47.657512393023218</c:v>
                </c:pt>
                <c:pt idx="21">
                  <c:v>34.2202419845026</c:v>
                </c:pt>
                <c:pt idx="22">
                  <c:v>16.54971531324659</c:v>
                </c:pt>
                <c:pt idx="23">
                  <c:v>-39.053181282378965</c:v>
                </c:pt>
                <c:pt idx="24">
                  <c:v>-55.55029519513721</c:v>
                </c:pt>
                <c:pt idx="25">
                  <c:v>-61.189003149983655</c:v>
                </c:pt>
                <c:pt idx="26">
                  <c:v>-69.158773479814656</c:v>
                </c:pt>
                <c:pt idx="27">
                  <c:v>-73.983911543938746</c:v>
                </c:pt>
                <c:pt idx="28">
                  <c:v>-70.277718288648131</c:v>
                </c:pt>
                <c:pt idx="29">
                  <c:v>-65.596466195296159</c:v>
                </c:pt>
                <c:pt idx="30">
                  <c:v>-59.723619124702886</c:v>
                </c:pt>
                <c:pt idx="31">
                  <c:v>-51.320860409317405</c:v>
                </c:pt>
                <c:pt idx="32">
                  <c:v>-35.847266318917647</c:v>
                </c:pt>
                <c:pt idx="33">
                  <c:v>12.520172949023131</c:v>
                </c:pt>
                <c:pt idx="34">
                  <c:v>21.40431529996167</c:v>
                </c:pt>
                <c:pt idx="35">
                  <c:v>28.528996835064309</c:v>
                </c:pt>
                <c:pt idx="36">
                  <c:v>36.091726238784446</c:v>
                </c:pt>
                <c:pt idx="37">
                  <c:v>38.531359489609429</c:v>
                </c:pt>
                <c:pt idx="38">
                  <c:v>41.676160832190675</c:v>
                </c:pt>
                <c:pt idx="39">
                  <c:v>44.334325184742305</c:v>
                </c:pt>
                <c:pt idx="40">
                  <c:v>50.371911877559981</c:v>
                </c:pt>
                <c:pt idx="41">
                  <c:v>49.047409428625087</c:v>
                </c:pt>
                <c:pt idx="42">
                  <c:v>47.60220423380057</c:v>
                </c:pt>
                <c:pt idx="43">
                  <c:v>26.891512314849642</c:v>
                </c:pt>
                <c:pt idx="44">
                  <c:v>-36.083834028130383</c:v>
                </c:pt>
                <c:pt idx="45">
                  <c:v>-44.516977079200331</c:v>
                </c:pt>
                <c:pt idx="46">
                  <c:v>-58.38840811693531</c:v>
                </c:pt>
                <c:pt idx="47">
                  <c:v>-140.89686791991539</c:v>
                </c:pt>
                <c:pt idx="48">
                  <c:v>-217.59785135468249</c:v>
                </c:pt>
                <c:pt idx="49">
                  <c:v>-225.81280727256998</c:v>
                </c:pt>
                <c:pt idx="50">
                  <c:v>-219.9056370842944</c:v>
                </c:pt>
                <c:pt idx="51">
                  <c:v>-196.5475039307893</c:v>
                </c:pt>
                <c:pt idx="52">
                  <c:v>-114.38131639676601</c:v>
                </c:pt>
                <c:pt idx="53">
                  <c:v>-75.863104913888463</c:v>
                </c:pt>
                <c:pt idx="54">
                  <c:v>-53.364480850553399</c:v>
                </c:pt>
                <c:pt idx="55">
                  <c:v>-33.426158378118728</c:v>
                </c:pt>
                <c:pt idx="56">
                  <c:v>33.662074601977537</c:v>
                </c:pt>
                <c:pt idx="57">
                  <c:v>40.103044110791551</c:v>
                </c:pt>
                <c:pt idx="58">
                  <c:v>41.882979266848608</c:v>
                </c:pt>
                <c:pt idx="59">
                  <c:v>44.26521594765174</c:v>
                </c:pt>
                <c:pt idx="60">
                  <c:v>41.741055056677837</c:v>
                </c:pt>
                <c:pt idx="61">
                  <c:v>42.037345300109649</c:v>
                </c:pt>
                <c:pt idx="62">
                  <c:v>45.50212198248164</c:v>
                </c:pt>
                <c:pt idx="63">
                  <c:v>50.242387230770426</c:v>
                </c:pt>
                <c:pt idx="64">
                  <c:v>46.003540676217554</c:v>
                </c:pt>
                <c:pt idx="65">
                  <c:v>53.541616723729902</c:v>
                </c:pt>
                <c:pt idx="66">
                  <c:v>51.314893283545658</c:v>
                </c:pt>
                <c:pt idx="67">
                  <c:v>43.947547542929279</c:v>
                </c:pt>
                <c:pt idx="68">
                  <c:v>33.859151430695078</c:v>
                </c:pt>
                <c:pt idx="69">
                  <c:v>18.087705059807661</c:v>
                </c:pt>
                <c:pt idx="70">
                  <c:v>-30.633910582964969</c:v>
                </c:pt>
                <c:pt idx="71">
                  <c:v>-34.528725585667566</c:v>
                </c:pt>
                <c:pt idx="72">
                  <c:v>-34.428145771310419</c:v>
                </c:pt>
                <c:pt idx="73">
                  <c:v>-32.376741158702636</c:v>
                </c:pt>
                <c:pt idx="74">
                  <c:v>-33.788267744226502</c:v>
                </c:pt>
                <c:pt idx="75">
                  <c:v>-33.213515062187547</c:v>
                </c:pt>
                <c:pt idx="76">
                  <c:v>-30.573777452097723</c:v>
                </c:pt>
                <c:pt idx="77">
                  <c:v>-26.176378051300802</c:v>
                </c:pt>
                <c:pt idx="78">
                  <c:v>25.204352620537989</c:v>
                </c:pt>
                <c:pt idx="79">
                  <c:v>40.446003600127064</c:v>
                </c:pt>
                <c:pt idx="80">
                  <c:v>40.682996115483512</c:v>
                </c:pt>
                <c:pt idx="81">
                  <c:v>41.049070913039529</c:v>
                </c:pt>
                <c:pt idx="82">
                  <c:v>41.78671084950421</c:v>
                </c:pt>
                <c:pt idx="83">
                  <c:v>43.670307536204959</c:v>
                </c:pt>
                <c:pt idx="84">
                  <c:v>45.861556789644922</c:v>
                </c:pt>
                <c:pt idx="85">
                  <c:v>50.776639462055904</c:v>
                </c:pt>
                <c:pt idx="86">
                  <c:v>50.37797664794509</c:v>
                </c:pt>
                <c:pt idx="87">
                  <c:v>49.610246652324079</c:v>
                </c:pt>
                <c:pt idx="88">
                  <c:v>49.148689860413953</c:v>
                </c:pt>
                <c:pt idx="89">
                  <c:v>49.474317439569397</c:v>
                </c:pt>
                <c:pt idx="90">
                  <c:v>42.823162508391746</c:v>
                </c:pt>
                <c:pt idx="91">
                  <c:v>14.71518657671704</c:v>
                </c:pt>
                <c:pt idx="92">
                  <c:v>-33.712430280660371</c:v>
                </c:pt>
                <c:pt idx="93">
                  <c:v>-36.096346410321765</c:v>
                </c:pt>
                <c:pt idx="94">
                  <c:v>-38.849517844910089</c:v>
                </c:pt>
                <c:pt idx="95">
                  <c:v>-39.867770109578821</c:v>
                </c:pt>
                <c:pt idx="96">
                  <c:v>-40.273624939742078</c:v>
                </c:pt>
                <c:pt idx="97">
                  <c:v>-40.463419205236875</c:v>
                </c:pt>
                <c:pt idx="98">
                  <c:v>-39.983595021278937</c:v>
                </c:pt>
                <c:pt idx="99">
                  <c:v>-32.288625410724173</c:v>
                </c:pt>
                <c:pt idx="100">
                  <c:v>17.909465011344899</c:v>
                </c:pt>
                <c:pt idx="101">
                  <c:v>24.891723503820089</c:v>
                </c:pt>
                <c:pt idx="102">
                  <c:v>39.302564287017937</c:v>
                </c:pt>
                <c:pt idx="103">
                  <c:v>50.791053885947676</c:v>
                </c:pt>
                <c:pt idx="104">
                  <c:v>54.327062405632617</c:v>
                </c:pt>
                <c:pt idx="105">
                  <c:v>61.129601397441355</c:v>
                </c:pt>
                <c:pt idx="106">
                  <c:v>54.298156382776</c:v>
                </c:pt>
                <c:pt idx="107">
                  <c:v>52.357684799854987</c:v>
                </c:pt>
                <c:pt idx="108">
                  <c:v>50.292560022703327</c:v>
                </c:pt>
                <c:pt idx="109">
                  <c:v>45.719465150479799</c:v>
                </c:pt>
                <c:pt idx="110">
                  <c:v>38.459532855233455</c:v>
                </c:pt>
                <c:pt idx="111">
                  <c:v>36.744644937450587</c:v>
                </c:pt>
                <c:pt idx="112">
                  <c:v>38.076357529862563</c:v>
                </c:pt>
                <c:pt idx="113">
                  <c:v>34.217066495498798</c:v>
                </c:pt>
                <c:pt idx="114">
                  <c:v>33.409616494530923</c:v>
                </c:pt>
                <c:pt idx="115">
                  <c:v>28.178442180315109</c:v>
                </c:pt>
                <c:pt idx="116">
                  <c:v>25.62595209060559</c:v>
                </c:pt>
                <c:pt idx="117">
                  <c:v>25.792139039964468</c:v>
                </c:pt>
                <c:pt idx="118">
                  <c:v>30.423999658790919</c:v>
                </c:pt>
                <c:pt idx="119">
                  <c:v>31.24704622332392</c:v>
                </c:pt>
                <c:pt idx="120">
                  <c:v>29.556230302768789</c:v>
                </c:pt>
                <c:pt idx="121">
                  <c:v>31.461088541623983</c:v>
                </c:pt>
                <c:pt idx="122">
                  <c:v>32.971749021478431</c:v>
                </c:pt>
                <c:pt idx="123">
                  <c:v>43.432776292947139</c:v>
                </c:pt>
                <c:pt idx="124">
                  <c:v>48.002464053152949</c:v>
                </c:pt>
                <c:pt idx="125">
                  <c:v>47.238351665643691</c:v>
                </c:pt>
                <c:pt idx="126">
                  <c:v>48.78598970884785</c:v>
                </c:pt>
                <c:pt idx="127">
                  <c:v>47.207741434067039</c:v>
                </c:pt>
                <c:pt idx="128">
                  <c:v>49.003371985497203</c:v>
                </c:pt>
                <c:pt idx="129">
                  <c:v>51.508536407814056</c:v>
                </c:pt>
                <c:pt idx="130">
                  <c:v>53.382393478014514</c:v>
                </c:pt>
                <c:pt idx="131">
                  <c:v>52.117202936231607</c:v>
                </c:pt>
                <c:pt idx="132">
                  <c:v>58.07782054009796</c:v>
                </c:pt>
                <c:pt idx="133">
                  <c:v>59.66978392720452</c:v>
                </c:pt>
                <c:pt idx="134">
                  <c:v>59.083913449262482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14-4CB5-868F-AD9125347615}"/>
            </c:ext>
          </c:extLst>
        </c:ser>
        <c:ser>
          <c:idx val="3"/>
          <c:order val="3"/>
          <c:tx>
            <c:strRef>
              <c:f>'Diferentes médias móveis'!$Q$1</c:f>
              <c:strCache>
                <c:ptCount val="1"/>
                <c:pt idx="0">
                  <c:v>UTS_10h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móveis'!$Q$2:$Q$136</c:f>
              <c:numCache>
                <c:formatCode>General</c:formatCode>
                <c:ptCount val="135"/>
                <c:pt idx="9">
                  <c:v>16.846100422861181</c:v>
                </c:pt>
                <c:pt idx="10">
                  <c:v>12.62660483395476</c:v>
                </c:pt>
                <c:pt idx="11">
                  <c:v>-27.667609610903181</c:v>
                </c:pt>
                <c:pt idx="12">
                  <c:v>17.782728338201409</c:v>
                </c:pt>
                <c:pt idx="13">
                  <c:v>23.11825408526385</c:v>
                </c:pt>
                <c:pt idx="14">
                  <c:v>30.39286985839556</c:v>
                </c:pt>
                <c:pt idx="15">
                  <c:v>31.231305928420177</c:v>
                </c:pt>
                <c:pt idx="16">
                  <c:v>35.697004877490201</c:v>
                </c:pt>
                <c:pt idx="17">
                  <c:v>37.997864152464203</c:v>
                </c:pt>
                <c:pt idx="18">
                  <c:v>43.716415890087212</c:v>
                </c:pt>
                <c:pt idx="19">
                  <c:v>45.036970641284604</c:v>
                </c:pt>
                <c:pt idx="20">
                  <c:v>49.324956062835163</c:v>
                </c:pt>
                <c:pt idx="21">
                  <c:v>38.828031205645004</c:v>
                </c:pt>
                <c:pt idx="22">
                  <c:v>20.21495440822034</c:v>
                </c:pt>
                <c:pt idx="23">
                  <c:v>-35.895666208565842</c:v>
                </c:pt>
                <c:pt idx="24">
                  <c:v>-50.774751726821179</c:v>
                </c:pt>
                <c:pt idx="25">
                  <c:v>-54.937177663892648</c:v>
                </c:pt>
                <c:pt idx="26">
                  <c:v>-57.498069610436062</c:v>
                </c:pt>
                <c:pt idx="27">
                  <c:v>-57.978102880969338</c:v>
                </c:pt>
                <c:pt idx="28">
                  <c:v>-56.749670344104828</c:v>
                </c:pt>
                <c:pt idx="29">
                  <c:v>-56.136002763964946</c:v>
                </c:pt>
                <c:pt idx="30">
                  <c:v>-55.933936047390823</c:v>
                </c:pt>
                <c:pt idx="31">
                  <c:v>-55.022892178050412</c:v>
                </c:pt>
                <c:pt idx="32">
                  <c:v>-52.933590854500792</c:v>
                </c:pt>
                <c:pt idx="33">
                  <c:v>-45.745211693758641</c:v>
                </c:pt>
                <c:pt idx="34">
                  <c:v>-31.68795534931656</c:v>
                </c:pt>
                <c:pt idx="35">
                  <c:v>15.201717956641412</c:v>
                </c:pt>
                <c:pt idx="36">
                  <c:v>24.289688859981702</c:v>
                </c:pt>
                <c:pt idx="37">
                  <c:v>31.188676056227589</c:v>
                </c:pt>
                <c:pt idx="38">
                  <c:v>37.392057553439216</c:v>
                </c:pt>
                <c:pt idx="39">
                  <c:v>40.645624236653418</c:v>
                </c:pt>
                <c:pt idx="40">
                  <c:v>45.529117032702899</c:v>
                </c:pt>
                <c:pt idx="41">
                  <c:v>48.554247991850644</c:v>
                </c:pt>
                <c:pt idx="42">
                  <c:v>48.508660585129547</c:v>
                </c:pt>
                <c:pt idx="43">
                  <c:v>27.900882078821631</c:v>
                </c:pt>
                <c:pt idx="44">
                  <c:v>-32.750360191074627</c:v>
                </c:pt>
                <c:pt idx="45">
                  <c:v>-40.277552442149336</c:v>
                </c:pt>
                <c:pt idx="46">
                  <c:v>-53.226093242912583</c:v>
                </c:pt>
                <c:pt idx="47">
                  <c:v>-78.993650378189457</c:v>
                </c:pt>
                <c:pt idx="48">
                  <c:v>-128.3732779273555</c:v>
                </c:pt>
                <c:pt idx="49">
                  <c:v>-134.004526538509</c:v>
                </c:pt>
                <c:pt idx="50">
                  <c:v>-130.4687058538882</c:v>
                </c:pt>
                <c:pt idx="51">
                  <c:v>-124.9900437218223</c:v>
                </c:pt>
                <c:pt idx="52">
                  <c:v>-113.06303146036541</c:v>
                </c:pt>
                <c:pt idx="53">
                  <c:v>-93.558288841424627</c:v>
                </c:pt>
                <c:pt idx="54">
                  <c:v>-62.269591254200016</c:v>
                </c:pt>
                <c:pt idx="55">
                  <c:v>-56.997278304494913</c:v>
                </c:pt>
                <c:pt idx="56">
                  <c:v>-47.750178469096483</c:v>
                </c:pt>
                <c:pt idx="57">
                  <c:v>-29.817851551809571</c:v>
                </c:pt>
                <c:pt idx="58">
                  <c:v>34.187877617498771</c:v>
                </c:pt>
                <c:pt idx="59">
                  <c:v>43.814289144772836</c:v>
                </c:pt>
                <c:pt idx="60">
                  <c:v>44.280329136494771</c:v>
                </c:pt>
                <c:pt idx="61">
                  <c:v>43.98696866590236</c:v>
                </c:pt>
                <c:pt idx="62">
                  <c:v>43.948202060274738</c:v>
                </c:pt>
                <c:pt idx="63">
                  <c:v>44.794443116605308</c:v>
                </c:pt>
                <c:pt idx="64">
                  <c:v>45.610444468867676</c:v>
                </c:pt>
                <c:pt idx="65">
                  <c:v>50.813350942611692</c:v>
                </c:pt>
                <c:pt idx="66">
                  <c:v>46.272469610543801</c:v>
                </c:pt>
                <c:pt idx="67">
                  <c:v>45.890116167753746</c:v>
                </c:pt>
                <c:pt idx="68">
                  <c:v>35.923639083535072</c:v>
                </c:pt>
                <c:pt idx="69">
                  <c:v>20.313883595087511</c:v>
                </c:pt>
                <c:pt idx="70">
                  <c:v>-28.000781094706639</c:v>
                </c:pt>
                <c:pt idx="71">
                  <c:v>-31.260237599010122</c:v>
                </c:pt>
                <c:pt idx="72">
                  <c:v>-31.487786002179856</c:v>
                </c:pt>
                <c:pt idx="73">
                  <c:v>-29.347974800185302</c:v>
                </c:pt>
                <c:pt idx="74">
                  <c:v>-30.530801784264071</c:v>
                </c:pt>
                <c:pt idx="75">
                  <c:v>-30.256560668815407</c:v>
                </c:pt>
                <c:pt idx="76">
                  <c:v>-28.924926929128702</c:v>
                </c:pt>
                <c:pt idx="77">
                  <c:v>-28.450380864800138</c:v>
                </c:pt>
                <c:pt idx="78">
                  <c:v>-26.93433730077502</c:v>
                </c:pt>
                <c:pt idx="79">
                  <c:v>15.414138156926821</c:v>
                </c:pt>
                <c:pt idx="80">
                  <c:v>28.294886833093656</c:v>
                </c:pt>
                <c:pt idx="81">
                  <c:v>42.904440088718424</c:v>
                </c:pt>
                <c:pt idx="82">
                  <c:v>43.763112789700507</c:v>
                </c:pt>
                <c:pt idx="83">
                  <c:v>42.285226760495142</c:v>
                </c:pt>
                <c:pt idx="84">
                  <c:v>42.755318808278439</c:v>
                </c:pt>
                <c:pt idx="85">
                  <c:v>44.638188596984904</c:v>
                </c:pt>
                <c:pt idx="86">
                  <c:v>45.695914469205718</c:v>
                </c:pt>
                <c:pt idx="87">
                  <c:v>49.907698488035152</c:v>
                </c:pt>
                <c:pt idx="88">
                  <c:v>49.267718252513909</c:v>
                </c:pt>
                <c:pt idx="89">
                  <c:v>50.709754404451303</c:v>
                </c:pt>
                <c:pt idx="90">
                  <c:v>45.484210293929202</c:v>
                </c:pt>
                <c:pt idx="91">
                  <c:v>17.613671411395739</c:v>
                </c:pt>
                <c:pt idx="92">
                  <c:v>-30.353413511201989</c:v>
                </c:pt>
                <c:pt idx="93">
                  <c:v>-32.228000487739322</c:v>
                </c:pt>
                <c:pt idx="94">
                  <c:v>-34.780036432180836</c:v>
                </c:pt>
                <c:pt idx="95">
                  <c:v>-35.680744054177069</c:v>
                </c:pt>
                <c:pt idx="96">
                  <c:v>-36.21160156833637</c:v>
                </c:pt>
                <c:pt idx="97">
                  <c:v>-36.281460838014759</c:v>
                </c:pt>
                <c:pt idx="98">
                  <c:v>-36.092702208295357</c:v>
                </c:pt>
                <c:pt idx="99">
                  <c:v>-35.809542646966591</c:v>
                </c:pt>
                <c:pt idx="100">
                  <c:v>-35.054614922841246</c:v>
                </c:pt>
                <c:pt idx="101">
                  <c:v>-28.473691559129488</c:v>
                </c:pt>
                <c:pt idx="102">
                  <c:v>21.234176729588281</c:v>
                </c:pt>
                <c:pt idx="103">
                  <c:v>27.92721461168825</c:v>
                </c:pt>
                <c:pt idx="104">
                  <c:v>41.594175304988617</c:v>
                </c:pt>
                <c:pt idx="105">
                  <c:v>55.148828964697572</c:v>
                </c:pt>
                <c:pt idx="106">
                  <c:v>56.940821669780561</c:v>
                </c:pt>
                <c:pt idx="107">
                  <c:v>57.136835910139951</c:v>
                </c:pt>
                <c:pt idx="108">
                  <c:v>53.158387639938923</c:v>
                </c:pt>
                <c:pt idx="109">
                  <c:v>47.754466040700798</c:v>
                </c:pt>
                <c:pt idx="110">
                  <c:v>39.166636293304791</c:v>
                </c:pt>
                <c:pt idx="111">
                  <c:v>37.46363512363731</c:v>
                </c:pt>
                <c:pt idx="112">
                  <c:v>39.82671890203283</c:v>
                </c:pt>
                <c:pt idx="113">
                  <c:v>38.773836335634201</c:v>
                </c:pt>
                <c:pt idx="114">
                  <c:v>37.399844640481362</c:v>
                </c:pt>
                <c:pt idx="115">
                  <c:v>30.65305225355668</c:v>
                </c:pt>
                <c:pt idx="116">
                  <c:v>28.586747803027318</c:v>
                </c:pt>
                <c:pt idx="117">
                  <c:v>27.343648250119763</c:v>
                </c:pt>
                <c:pt idx="118">
                  <c:v>27.37598598725539</c:v>
                </c:pt>
                <c:pt idx="119">
                  <c:v>29.043037758643248</c:v>
                </c:pt>
                <c:pt idx="120">
                  <c:v>32.769654773516457</c:v>
                </c:pt>
                <c:pt idx="121">
                  <c:v>33.814287644119936</c:v>
                </c:pt>
                <c:pt idx="122">
                  <c:v>32.315553240223387</c:v>
                </c:pt>
                <c:pt idx="123">
                  <c:v>35.936930738893793</c:v>
                </c:pt>
                <c:pt idx="124">
                  <c:v>37.60201287367007</c:v>
                </c:pt>
                <c:pt idx="125">
                  <c:v>40.933651831499802</c:v>
                </c:pt>
                <c:pt idx="126">
                  <c:v>45.676310345395585</c:v>
                </c:pt>
                <c:pt idx="127">
                  <c:v>47.553777074575223</c:v>
                </c:pt>
                <c:pt idx="128">
                  <c:v>48.940731624882609</c:v>
                </c:pt>
                <c:pt idx="129">
                  <c:v>51.95842867209651</c:v>
                </c:pt>
                <c:pt idx="130">
                  <c:v>52.91366223180426</c:v>
                </c:pt>
                <c:pt idx="131">
                  <c:v>52.598872779556814</c:v>
                </c:pt>
                <c:pt idx="132">
                  <c:v>58.600567197976261</c:v>
                </c:pt>
                <c:pt idx="133">
                  <c:v>55.645860154679369</c:v>
                </c:pt>
                <c:pt idx="134">
                  <c:v>56.290351332924381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14-4CB5-868F-AD9125347615}"/>
            </c:ext>
          </c:extLst>
        </c:ser>
        <c:ser>
          <c:idx val="4"/>
          <c:order val="4"/>
          <c:tx>
            <c:strRef>
              <c:f>'Diferentes médias móveis'!$U$1</c:f>
              <c:strCache>
                <c:ptCount val="1"/>
                <c:pt idx="0">
                  <c:v>UTS_12h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'Diferentes médias móveis'!$A$2:$A$441</c:f>
              <c:numCache>
                <c:formatCode>m/d/yyyy\ h:mm</c:formatCode>
                <c:ptCount val="440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móveis'!$U$2:$U$441</c:f>
              <c:numCache>
                <c:formatCode>General</c:formatCode>
                <c:ptCount val="440"/>
                <c:pt idx="11">
                  <c:v>17.217506983838827</c:v>
                </c:pt>
                <c:pt idx="12">
                  <c:v>13.871024194780921</c:v>
                </c:pt>
                <c:pt idx="13">
                  <c:v>-26.424744764046171</c:v>
                </c:pt>
                <c:pt idx="14">
                  <c:v>19.755220342261659</c:v>
                </c:pt>
                <c:pt idx="15">
                  <c:v>24.988105219602161</c:v>
                </c:pt>
                <c:pt idx="16">
                  <c:v>28.862104818023994</c:v>
                </c:pt>
                <c:pt idx="17">
                  <c:v>34.099868685536258</c:v>
                </c:pt>
                <c:pt idx="18">
                  <c:v>34.658685933183449</c:v>
                </c:pt>
                <c:pt idx="19">
                  <c:v>38.124478680880792</c:v>
                </c:pt>
                <c:pt idx="20">
                  <c:v>41.860308061224288</c:v>
                </c:pt>
                <c:pt idx="21">
                  <c:v>42.247454879974875</c:v>
                </c:pt>
                <c:pt idx="22">
                  <c:v>36.93210123381651</c:v>
                </c:pt>
                <c:pt idx="23">
                  <c:v>20.703184360174301</c:v>
                </c:pt>
                <c:pt idx="24">
                  <c:v>-34.851521095918578</c:v>
                </c:pt>
                <c:pt idx="25">
                  <c:v>-48.360606698566471</c:v>
                </c:pt>
                <c:pt idx="26">
                  <c:v>-53.478736085290244</c:v>
                </c:pt>
                <c:pt idx="27">
                  <c:v>-54.694271142255104</c:v>
                </c:pt>
                <c:pt idx="28">
                  <c:v>-53.878402819057278</c:v>
                </c:pt>
                <c:pt idx="29">
                  <c:v>-53.365533789574926</c:v>
                </c:pt>
                <c:pt idx="30">
                  <c:v>-53.252778830999823</c:v>
                </c:pt>
                <c:pt idx="31">
                  <c:v>-53.041115784714265</c:v>
                </c:pt>
                <c:pt idx="32">
                  <c:v>-52.89126167989513</c:v>
                </c:pt>
                <c:pt idx="33">
                  <c:v>-52.333285294499774</c:v>
                </c:pt>
                <c:pt idx="34">
                  <c:v>-50.233544832357921</c:v>
                </c:pt>
                <c:pt idx="35">
                  <c:v>-43.525757730110406</c:v>
                </c:pt>
                <c:pt idx="36">
                  <c:v>-30.342035958276899</c:v>
                </c:pt>
                <c:pt idx="37">
                  <c:v>16.777222430919831</c:v>
                </c:pt>
                <c:pt idx="38">
                  <c:v>25.336210643858507</c:v>
                </c:pt>
                <c:pt idx="39">
                  <c:v>32.49413745349873</c:v>
                </c:pt>
                <c:pt idx="40">
                  <c:v>38.657320576197165</c:v>
                </c:pt>
                <c:pt idx="41">
                  <c:v>42.821169589173508</c:v>
                </c:pt>
                <c:pt idx="42">
                  <c:v>44.136297871567393</c:v>
                </c:pt>
                <c:pt idx="43">
                  <c:v>42.273332655371085</c:v>
                </c:pt>
                <c:pt idx="44">
                  <c:v>27.753422037108681</c:v>
                </c:pt>
                <c:pt idx="45">
                  <c:v>-32.697061352510147</c:v>
                </c:pt>
                <c:pt idx="46">
                  <c:v>-39.687968981801689</c:v>
                </c:pt>
                <c:pt idx="47">
                  <c:v>-51.167066003856831</c:v>
                </c:pt>
                <c:pt idx="48">
                  <c:v>-66.854949864393348</c:v>
                </c:pt>
                <c:pt idx="49">
                  <c:v>-99.669255846575197</c:v>
                </c:pt>
                <c:pt idx="50">
                  <c:v>-99.567632769227217</c:v>
                </c:pt>
                <c:pt idx="51">
                  <c:v>-95.461546697553757</c:v>
                </c:pt>
                <c:pt idx="52">
                  <c:v>-87.349854643104123</c:v>
                </c:pt>
                <c:pt idx="53">
                  <c:v>-79.891095452604006</c:v>
                </c:pt>
                <c:pt idx="54">
                  <c:v>-76.818111560825713</c:v>
                </c:pt>
                <c:pt idx="55">
                  <c:v>-70.414259008980636</c:v>
                </c:pt>
                <c:pt idx="56">
                  <c:v>-57.446234994605405</c:v>
                </c:pt>
                <c:pt idx="57">
                  <c:v>-54.048153447364498</c:v>
                </c:pt>
                <c:pt idx="58">
                  <c:v>-45.596780433400887</c:v>
                </c:pt>
                <c:pt idx="59">
                  <c:v>-28.406519055619338</c:v>
                </c:pt>
                <c:pt idx="60">
                  <c:v>36.541189087788837</c:v>
                </c:pt>
                <c:pt idx="61">
                  <c:v>43.358630643354552</c:v>
                </c:pt>
                <c:pt idx="62">
                  <c:v>44.557802763451484</c:v>
                </c:pt>
                <c:pt idx="63">
                  <c:v>45.541477116323847</c:v>
                </c:pt>
                <c:pt idx="64">
                  <c:v>44.967973619620174</c:v>
                </c:pt>
                <c:pt idx="65">
                  <c:v>44.442838259647672</c:v>
                </c:pt>
                <c:pt idx="66">
                  <c:v>45.248416087827984</c:v>
                </c:pt>
                <c:pt idx="67">
                  <c:v>45.188564335102839</c:v>
                </c:pt>
                <c:pt idx="68">
                  <c:v>39.747101121593097</c:v>
                </c:pt>
                <c:pt idx="69">
                  <c:v>34.290404165739169</c:v>
                </c:pt>
                <c:pt idx="70">
                  <c:v>20.91477572747268</c:v>
                </c:pt>
                <c:pt idx="71">
                  <c:v>-27.623968408590883</c:v>
                </c:pt>
                <c:pt idx="72">
                  <c:v>-30.245999655654792</c:v>
                </c:pt>
                <c:pt idx="73">
                  <c:v>-28.118483048940679</c:v>
                </c:pt>
                <c:pt idx="74">
                  <c:v>-29.55381159713939</c:v>
                </c:pt>
                <c:pt idx="75">
                  <c:v>-28.724656023981083</c:v>
                </c:pt>
                <c:pt idx="76">
                  <c:v>-27.514992762772028</c:v>
                </c:pt>
                <c:pt idx="77">
                  <c:v>-26.929587140677409</c:v>
                </c:pt>
                <c:pt idx="78">
                  <c:v>-26.967925538313832</c:v>
                </c:pt>
                <c:pt idx="79">
                  <c:v>-26.968483130947206</c:v>
                </c:pt>
                <c:pt idx="80">
                  <c:v>11.631492603151599</c:v>
                </c:pt>
                <c:pt idx="81">
                  <c:v>16.789200272365402</c:v>
                </c:pt>
                <c:pt idx="82">
                  <c:v>30.051075617447459</c:v>
                </c:pt>
                <c:pt idx="83">
                  <c:v>44.849405628139309</c:v>
                </c:pt>
                <c:pt idx="84">
                  <c:v>42.910125408589749</c:v>
                </c:pt>
                <c:pt idx="85">
                  <c:v>42.629948144329774</c:v>
                </c:pt>
                <c:pt idx="86">
                  <c:v>42.474336973874486</c:v>
                </c:pt>
                <c:pt idx="87">
                  <c:v>44.604566401040039</c:v>
                </c:pt>
                <c:pt idx="88">
                  <c:v>46.639858678338761</c:v>
                </c:pt>
                <c:pt idx="89">
                  <c:v>50.076693551143535</c:v>
                </c:pt>
                <c:pt idx="90">
                  <c:v>49.126803338125619</c:v>
                </c:pt>
                <c:pt idx="91">
                  <c:v>46.341984136952604</c:v>
                </c:pt>
                <c:pt idx="92">
                  <c:v>18.879510385601488</c:v>
                </c:pt>
                <c:pt idx="93">
                  <c:v>-29.136554796501418</c:v>
                </c:pt>
                <c:pt idx="94">
                  <c:v>-31.04192107745709</c:v>
                </c:pt>
                <c:pt idx="95">
                  <c:v>-33.039862226021391</c:v>
                </c:pt>
                <c:pt idx="96">
                  <c:v>-34.351646432342662</c:v>
                </c:pt>
                <c:pt idx="97">
                  <c:v>-34.596393155132368</c:v>
                </c:pt>
                <c:pt idx="98">
                  <c:v>-34.846008903833301</c:v>
                </c:pt>
                <c:pt idx="99">
                  <c:v>-34.307352320857369</c:v>
                </c:pt>
                <c:pt idx="100">
                  <c:v>-33.802466018955464</c:v>
                </c:pt>
                <c:pt idx="101">
                  <c:v>-33.5057958462504</c:v>
                </c:pt>
                <c:pt idx="102">
                  <c:v>-32.983420963549982</c:v>
                </c:pt>
                <c:pt idx="103">
                  <c:v>-27.099926054560758</c:v>
                </c:pt>
                <c:pt idx="104">
                  <c:v>22.944013597335839</c:v>
                </c:pt>
                <c:pt idx="105">
                  <c:v>29.574678326332769</c:v>
                </c:pt>
                <c:pt idx="106">
                  <c:v>45.318337338086366</c:v>
                </c:pt>
                <c:pt idx="107">
                  <c:v>53.763633271927716</c:v>
                </c:pt>
                <c:pt idx="108">
                  <c:v>56.375734326375238</c:v>
                </c:pt>
                <c:pt idx="109">
                  <c:v>55.905884237117</c:v>
                </c:pt>
                <c:pt idx="110">
                  <c:v>49.140317366886386</c:v>
                </c:pt>
                <c:pt idx="111">
                  <c:v>39.715423674624112</c:v>
                </c:pt>
                <c:pt idx="112">
                  <c:v>38.34351569390703</c:v>
                </c:pt>
                <c:pt idx="113">
                  <c:v>39.834235642210494</c:v>
                </c:pt>
                <c:pt idx="114">
                  <c:v>40.599322602799297</c:v>
                </c:pt>
                <c:pt idx="115">
                  <c:v>38.505170470055937</c:v>
                </c:pt>
                <c:pt idx="116">
                  <c:v>33.0689470938038</c:v>
                </c:pt>
                <c:pt idx="117">
                  <c:v>29.381815324184192</c:v>
                </c:pt>
                <c:pt idx="118">
                  <c:v>28.733006455271031</c:v>
                </c:pt>
                <c:pt idx="119">
                  <c:v>28.699767621496203</c:v>
                </c:pt>
                <c:pt idx="120">
                  <c:v>28.52374578492352</c:v>
                </c:pt>
                <c:pt idx="121">
                  <c:v>29.712678692027371</c:v>
                </c:pt>
                <c:pt idx="122">
                  <c:v>34.490801987513024</c:v>
                </c:pt>
                <c:pt idx="123">
                  <c:v>35.925378611148503</c:v>
                </c:pt>
                <c:pt idx="124">
                  <c:v>35.634404386976385</c:v>
                </c:pt>
                <c:pt idx="125">
                  <c:v>34.915640271573764</c:v>
                </c:pt>
                <c:pt idx="126">
                  <c:v>36.315350504502383</c:v>
                </c:pt>
                <c:pt idx="127">
                  <c:v>42.419736623714712</c:v>
                </c:pt>
                <c:pt idx="128">
                  <c:v>45.137666407414926</c:v>
                </c:pt>
                <c:pt idx="129">
                  <c:v>49.593748422783065</c:v>
                </c:pt>
                <c:pt idx="130">
                  <c:v>53.962695623514747</c:v>
                </c:pt>
                <c:pt idx="131">
                  <c:v>53.120112222881644</c:v>
                </c:pt>
                <c:pt idx="132">
                  <c:v>54.607503974954788</c:v>
                </c:pt>
                <c:pt idx="133">
                  <c:v>56.43883568708744</c:v>
                </c:pt>
                <c:pt idx="134">
                  <c:v>57.019158383933288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14-4CB5-868F-AD9125347615}"/>
            </c:ext>
          </c:extLst>
        </c:ser>
        <c:ser>
          <c:idx val="5"/>
          <c:order val="5"/>
          <c:tx>
            <c:strRef>
              <c:f>'Diferentes médias móveis'!$Y$1</c:f>
              <c:strCache>
                <c:ptCount val="1"/>
                <c:pt idx="0">
                  <c:v>UTS_24h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móveis'!$Y$2:$Y$136</c:f>
              <c:numCache>
                <c:formatCode>General</c:formatCode>
                <c:ptCount val="135"/>
                <c:pt idx="23">
                  <c:v>-29.042590413763751</c:v>
                </c:pt>
                <c:pt idx="24">
                  <c:v>-38.237421344208713</c:v>
                </c:pt>
                <c:pt idx="25">
                  <c:v>-41.778663198002633</c:v>
                </c:pt>
                <c:pt idx="26">
                  <c:v>-41.698068447359013</c:v>
                </c:pt>
                <c:pt idx="27">
                  <c:v>-41.320205199789449</c:v>
                </c:pt>
                <c:pt idx="28">
                  <c:v>-39.171608665762207</c:v>
                </c:pt>
                <c:pt idx="29">
                  <c:v>-38.065351558700748</c:v>
                </c:pt>
                <c:pt idx="30">
                  <c:v>-37.539382461875299</c:v>
                </c:pt>
                <c:pt idx="31">
                  <c:v>-36.894560387454121</c:v>
                </c:pt>
                <c:pt idx="32">
                  <c:v>-36.411230325043839</c:v>
                </c:pt>
                <c:pt idx="33">
                  <c:v>-36.099880151861576</c:v>
                </c:pt>
                <c:pt idx="34">
                  <c:v>-35.7796744250983</c:v>
                </c:pt>
                <c:pt idx="35">
                  <c:v>-35.802666247318768</c:v>
                </c:pt>
                <c:pt idx="36">
                  <c:v>-35.803841738479505</c:v>
                </c:pt>
                <c:pt idx="37">
                  <c:v>-35.905009080478159</c:v>
                </c:pt>
                <c:pt idx="38">
                  <c:v>-35.919377482718211</c:v>
                </c:pt>
                <c:pt idx="39">
                  <c:v>-35.598759989865805</c:v>
                </c:pt>
                <c:pt idx="40">
                  <c:v>-35.581305263059619</c:v>
                </c:pt>
                <c:pt idx="41">
                  <c:v>-35.524042605806784</c:v>
                </c:pt>
                <c:pt idx="42">
                  <c:v>-36.311266637706453</c:v>
                </c:pt>
                <c:pt idx="43">
                  <c:v>-38.489114507973319</c:v>
                </c:pt>
                <c:pt idx="44">
                  <c:v>-43.715263270023691</c:v>
                </c:pt>
                <c:pt idx="45">
                  <c:v>-46.797545386130864</c:v>
                </c:pt>
                <c:pt idx="46">
                  <c:v>-51.3725273264821</c:v>
                </c:pt>
                <c:pt idx="47">
                  <c:v>-54.3093126369765</c:v>
                </c:pt>
                <c:pt idx="48">
                  <c:v>-53.135201330414276</c:v>
                </c:pt>
                <c:pt idx="49">
                  <c:v>-51.340243180914705</c:v>
                </c:pt>
                <c:pt idx="50">
                  <c:v>-49.67497618041935</c:v>
                </c:pt>
                <c:pt idx="51">
                  <c:v>-48.405389034398127</c:v>
                </c:pt>
                <c:pt idx="52">
                  <c:v>-46.666166579190971</c:v>
                </c:pt>
                <c:pt idx="53">
                  <c:v>-45.317538108110497</c:v>
                </c:pt>
                <c:pt idx="54">
                  <c:v>-44.695280882061624</c:v>
                </c:pt>
                <c:pt idx="55">
                  <c:v>-44.484361733829857</c:v>
                </c:pt>
                <c:pt idx="56">
                  <c:v>-44.074024475553308</c:v>
                </c:pt>
                <c:pt idx="57">
                  <c:v>-44.07546695565248</c:v>
                </c:pt>
                <c:pt idx="58">
                  <c:v>-43.955307849281574</c:v>
                </c:pt>
                <c:pt idx="59">
                  <c:v>-43.754901588450466</c:v>
                </c:pt>
                <c:pt idx="60">
                  <c:v>-43.838503820815312</c:v>
                </c:pt>
                <c:pt idx="61">
                  <c:v>-43.793079197485426</c:v>
                </c:pt>
                <c:pt idx="62">
                  <c:v>-43.744163470401993</c:v>
                </c:pt>
                <c:pt idx="63">
                  <c:v>-43.705561516020481</c:v>
                </c:pt>
                <c:pt idx="64">
                  <c:v>-43.76314892430149</c:v>
                </c:pt>
                <c:pt idx="65">
                  <c:v>-43.710434970034214</c:v>
                </c:pt>
                <c:pt idx="66">
                  <c:v>-44.322876204020119</c:v>
                </c:pt>
                <c:pt idx="67">
                  <c:v>-44.492334060181932</c:v>
                </c:pt>
                <c:pt idx="68">
                  <c:v>-42.10343652148282</c:v>
                </c:pt>
                <c:pt idx="69">
                  <c:v>-41.827903318392131</c:v>
                </c:pt>
                <c:pt idx="70">
                  <c:v>-38.583556218668839</c:v>
                </c:pt>
                <c:pt idx="71">
                  <c:v>-30.405974715164959</c:v>
                </c:pt>
                <c:pt idx="72">
                  <c:v>15.83855621534355</c:v>
                </c:pt>
                <c:pt idx="73">
                  <c:v>19.08534318577162</c:v>
                </c:pt>
                <c:pt idx="74">
                  <c:v>17.801390336451981</c:v>
                </c:pt>
                <c:pt idx="75">
                  <c:v>18.320749753860319</c:v>
                </c:pt>
                <c:pt idx="76">
                  <c:v>19.851319724378779</c:v>
                </c:pt>
                <c:pt idx="77">
                  <c:v>20.622070116734832</c:v>
                </c:pt>
                <c:pt idx="78">
                  <c:v>21.639104941237918</c:v>
                </c:pt>
                <c:pt idx="79">
                  <c:v>21.816510821912193</c:v>
                </c:pt>
                <c:pt idx="80">
                  <c:v>21.767883540529269</c:v>
                </c:pt>
                <c:pt idx="81">
                  <c:v>22.24058794062875</c:v>
                </c:pt>
                <c:pt idx="82">
                  <c:v>22.547922481414631</c:v>
                </c:pt>
                <c:pt idx="83">
                  <c:v>22.24179008998858</c:v>
                </c:pt>
                <c:pt idx="84">
                  <c:v>22.420256770724869</c:v>
                </c:pt>
                <c:pt idx="85">
                  <c:v>22.030113638561922</c:v>
                </c:pt>
                <c:pt idx="86">
                  <c:v>21.948666669037483</c:v>
                </c:pt>
                <c:pt idx="87">
                  <c:v>21.700583386549948</c:v>
                </c:pt>
                <c:pt idx="88">
                  <c:v>22.202170391154141</c:v>
                </c:pt>
                <c:pt idx="89">
                  <c:v>22.287368941487578</c:v>
                </c:pt>
                <c:pt idx="90">
                  <c:v>21.236320319520068</c:v>
                </c:pt>
                <c:pt idx="91">
                  <c:v>15.61856154576056</c:v>
                </c:pt>
                <c:pt idx="92">
                  <c:v>-26.575812948111238</c:v>
                </c:pt>
                <c:pt idx="93">
                  <c:v>-26.167192993768811</c:v>
                </c:pt>
                <c:pt idx="94">
                  <c:v>13.277434266573229</c:v>
                </c:pt>
                <c:pt idx="95">
                  <c:v>14.248572322585881</c:v>
                </c:pt>
                <c:pt idx="96">
                  <c:v>13.799211114976858</c:v>
                </c:pt>
                <c:pt idx="97">
                  <c:v>13.717592571834942</c:v>
                </c:pt>
                <c:pt idx="98">
                  <c:v>13.695127864851738</c:v>
                </c:pt>
                <c:pt idx="99">
                  <c:v>14.252065675961989</c:v>
                </c:pt>
                <c:pt idx="100">
                  <c:v>14.67377352889676</c:v>
                </c:pt>
                <c:pt idx="101">
                  <c:v>15.305591664332791</c:v>
                </c:pt>
                <c:pt idx="102">
                  <c:v>15.347408064679369</c:v>
                </c:pt>
                <c:pt idx="103">
                  <c:v>15.555213002957469</c:v>
                </c:pt>
                <c:pt idx="104">
                  <c:v>15.5853524808209</c:v>
                </c:pt>
                <c:pt idx="105">
                  <c:v>15.890347519222569</c:v>
                </c:pt>
                <c:pt idx="106">
                  <c:v>15.793185698923201</c:v>
                </c:pt>
                <c:pt idx="107">
                  <c:v>15.956774505128879</c:v>
                </c:pt>
                <c:pt idx="108">
                  <c:v>15.876771158312792</c:v>
                </c:pt>
                <c:pt idx="109">
                  <c:v>15.521066096349651</c:v>
                </c:pt>
                <c:pt idx="110">
                  <c:v>14.86121027072927</c:v>
                </c:pt>
                <c:pt idx="111">
                  <c:v>14.41410998759447</c:v>
                </c:pt>
                <c:pt idx="112">
                  <c:v>14.652934633435949</c:v>
                </c:pt>
                <c:pt idx="113">
                  <c:v>14.55336201812967</c:v>
                </c:pt>
                <c:pt idx="114">
                  <c:v>14.93696398691047</c:v>
                </c:pt>
                <c:pt idx="115">
                  <c:v>19.549735279079609</c:v>
                </c:pt>
                <c:pt idx="116">
                  <c:v>27.93393704433414</c:v>
                </c:pt>
                <c:pt idx="117">
                  <c:v>30.740591084434239</c:v>
                </c:pt>
                <c:pt idx="118">
                  <c:v>36.174184845485556</c:v>
                </c:pt>
                <c:pt idx="119">
                  <c:v>39.05711027044795</c:v>
                </c:pt>
                <c:pt idx="120">
                  <c:v>38.994476519751942</c:v>
                </c:pt>
                <c:pt idx="121">
                  <c:v>39.346512661968951</c:v>
                </c:pt>
                <c:pt idx="122">
                  <c:v>38.215441517518002</c:v>
                </c:pt>
                <c:pt idx="123">
                  <c:v>40.159028081901049</c:v>
                </c:pt>
                <c:pt idx="124">
                  <c:v>39.390083829755</c:v>
                </c:pt>
                <c:pt idx="125">
                  <c:v>37.153297446258371</c:v>
                </c:pt>
                <c:pt idx="126">
                  <c:v>38.076093798645552</c:v>
                </c:pt>
                <c:pt idx="127">
                  <c:v>37.917033019635191</c:v>
                </c:pt>
                <c:pt idx="128">
                  <c:v>38.075720438512676</c:v>
                </c:pt>
                <c:pt idx="129">
                  <c:v>38.454433599054447</c:v>
                </c:pt>
                <c:pt idx="130">
                  <c:v>39.5550953270292</c:v>
                </c:pt>
                <c:pt idx="131">
                  <c:v>40.120829214531099</c:v>
                </c:pt>
                <c:pt idx="132">
                  <c:v>41.59433546046813</c:v>
                </c:pt>
                <c:pt idx="133">
                  <c:v>42.401284305678189</c:v>
                </c:pt>
                <c:pt idx="134">
                  <c:v>45.43052499851067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14-4CB5-868F-AD912534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236008"/>
        <c:axId val="615238528"/>
      </c:scatterChart>
      <c:valAx>
        <c:axId val="61523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5238528"/>
        <c:crosses val="autoZero"/>
        <c:crossBetween val="midCat"/>
        <c:majorUnit val="0.5"/>
      </c:valAx>
      <c:valAx>
        <c:axId val="615238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1523600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Médias móveis 4h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'Diferentes médias móveis'!$D$1</c:f>
              <c:strCache>
                <c:ptCount val="1"/>
                <c:pt idx="0">
                  <c:v>N0_4h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móveis'!$D$2:$D$136</c:f>
              <c:numCache>
                <c:formatCode>General</c:formatCode>
                <c:ptCount val="135"/>
                <c:pt idx="3">
                  <c:v>22.458246927837244</c:v>
                </c:pt>
                <c:pt idx="4">
                  <c:v>6.2484976569603434</c:v>
                </c:pt>
                <c:pt idx="5">
                  <c:v>1.5287841913909874</c:v>
                </c:pt>
                <c:pt idx="6">
                  <c:v>10.020022820813999</c:v>
                </c:pt>
                <c:pt idx="7">
                  <c:v>14.931169308633502</c:v>
                </c:pt>
                <c:pt idx="8">
                  <c:v>21.98812496032912</c:v>
                </c:pt>
                <c:pt idx="9">
                  <c:v>29.239603182023711</c:v>
                </c:pt>
                <c:pt idx="10">
                  <c:v>28.793651644966616</c:v>
                </c:pt>
                <c:pt idx="11">
                  <c:v>37.20869022066757</c:v>
                </c:pt>
                <c:pt idx="12">
                  <c:v>58.63463071146068</c:v>
                </c:pt>
                <c:pt idx="13">
                  <c:v>74.178314421952805</c:v>
                </c:pt>
                <c:pt idx="14">
                  <c:v>135.44620102826789</c:v>
                </c:pt>
                <c:pt idx="15">
                  <c:v>72.561982500267803</c:v>
                </c:pt>
                <c:pt idx="16">
                  <c:v>74.789585352584822</c:v>
                </c:pt>
                <c:pt idx="17">
                  <c:v>54.02104431034477</c:v>
                </c:pt>
                <c:pt idx="18">
                  <c:v>58.751022292040133</c:v>
                </c:pt>
                <c:pt idx="19">
                  <c:v>121.37773279085229</c:v>
                </c:pt>
                <c:pt idx="20">
                  <c:v>107.88664800178826</c:v>
                </c:pt>
                <c:pt idx="21">
                  <c:v>61.855301217178429</c:v>
                </c:pt>
                <c:pt idx="22">
                  <c:v>12.86941382823883</c:v>
                </c:pt>
                <c:pt idx="23">
                  <c:v>-3.4022690450194739</c:v>
                </c:pt>
                <c:pt idx="24">
                  <c:v>-7.4253836361949448</c:v>
                </c:pt>
                <c:pt idx="25">
                  <c:v>-8.0956621074446904</c:v>
                </c:pt>
                <c:pt idx="26">
                  <c:v>-8.1020838011579741</c:v>
                </c:pt>
                <c:pt idx="27">
                  <c:v>-7.089584882939171</c:v>
                </c:pt>
                <c:pt idx="28">
                  <c:v>-2.7258600917538818</c:v>
                </c:pt>
                <c:pt idx="29">
                  <c:v>4.7184985902602739</c:v>
                </c:pt>
                <c:pt idx="30">
                  <c:v>14.710237875148424</c:v>
                </c:pt>
                <c:pt idx="31">
                  <c:v>26.042072556848382</c:v>
                </c:pt>
                <c:pt idx="32">
                  <c:v>37.264801389326799</c:v>
                </c:pt>
                <c:pt idx="33">
                  <c:v>51.252856369535792</c:v>
                </c:pt>
                <c:pt idx="34">
                  <c:v>59.576707285832867</c:v>
                </c:pt>
                <c:pt idx="35">
                  <c:v>60.117832022052617</c:v>
                </c:pt>
                <c:pt idx="36">
                  <c:v>73.832889423966179</c:v>
                </c:pt>
                <c:pt idx="37">
                  <c:v>58.809363070442224</c:v>
                </c:pt>
                <c:pt idx="38">
                  <c:v>61.665121907258055</c:v>
                </c:pt>
                <c:pt idx="39">
                  <c:v>71.735535866428052</c:v>
                </c:pt>
                <c:pt idx="40">
                  <c:v>82.034806275384554</c:v>
                </c:pt>
                <c:pt idx="41">
                  <c:v>103.35184753154721</c:v>
                </c:pt>
                <c:pt idx="42">
                  <c:v>106.06306410764812</c:v>
                </c:pt>
                <c:pt idx="43">
                  <c:v>26.293453580651434</c:v>
                </c:pt>
                <c:pt idx="44">
                  <c:v>-2.4578515547450581</c:v>
                </c:pt>
                <c:pt idx="45">
                  <c:v>-5.2016778572325357</c:v>
                </c:pt>
                <c:pt idx="46">
                  <c:v>-7.8273278275422049</c:v>
                </c:pt>
                <c:pt idx="47">
                  <c:v>-9.0711442482944697</c:v>
                </c:pt>
                <c:pt idx="48">
                  <c:v>-9.077122003514388</c:v>
                </c:pt>
                <c:pt idx="49">
                  <c:v>-8.8245295141264268</c:v>
                </c:pt>
                <c:pt idx="50">
                  <c:v>-7.6769060093332717</c:v>
                </c:pt>
                <c:pt idx="51">
                  <c:v>-1.9011845078064928</c:v>
                </c:pt>
                <c:pt idx="52">
                  <c:v>39.131229712964988</c:v>
                </c:pt>
                <c:pt idx="53">
                  <c:v>73.065775258296668</c:v>
                </c:pt>
                <c:pt idx="54">
                  <c:v>71.572192742661869</c:v>
                </c:pt>
                <c:pt idx="55">
                  <c:v>56.933915616372865</c:v>
                </c:pt>
                <c:pt idx="56">
                  <c:v>60.300042578245396</c:v>
                </c:pt>
                <c:pt idx="57">
                  <c:v>49.40207196740063</c:v>
                </c:pt>
                <c:pt idx="58">
                  <c:v>54.842528520946686</c:v>
                </c:pt>
                <c:pt idx="59">
                  <c:v>79.618795482524533</c:v>
                </c:pt>
                <c:pt idx="60">
                  <c:v>63.346856354207773</c:v>
                </c:pt>
                <c:pt idx="61">
                  <c:v>82.241936547137684</c:v>
                </c:pt>
                <c:pt idx="62">
                  <c:v>92.234649818593866</c:v>
                </c:pt>
                <c:pt idx="63">
                  <c:v>79.228209450121156</c:v>
                </c:pt>
                <c:pt idx="64">
                  <c:v>77.511226286685257</c:v>
                </c:pt>
                <c:pt idx="65">
                  <c:v>89.874643353706006</c:v>
                </c:pt>
                <c:pt idx="66">
                  <c:v>82.554357753587638</c:v>
                </c:pt>
                <c:pt idx="67">
                  <c:v>74.352077750396688</c:v>
                </c:pt>
                <c:pt idx="68">
                  <c:v>45.698941792271818</c:v>
                </c:pt>
                <c:pt idx="69">
                  <c:v>12.932708275141398</c:v>
                </c:pt>
                <c:pt idx="70">
                  <c:v>2.0718112317731117</c:v>
                </c:pt>
                <c:pt idx="71">
                  <c:v>-0.4259212544606969</c:v>
                </c:pt>
                <c:pt idx="72">
                  <c:v>0.50697666870596347</c:v>
                </c:pt>
                <c:pt idx="73">
                  <c:v>4.9805379505797154</c:v>
                </c:pt>
                <c:pt idx="74">
                  <c:v>24.585929832753838</c:v>
                </c:pt>
                <c:pt idx="75">
                  <c:v>67.318622479661656</c:v>
                </c:pt>
                <c:pt idx="76">
                  <c:v>62.431817802856756</c:v>
                </c:pt>
                <c:pt idx="77">
                  <c:v>46.363523213781413</c:v>
                </c:pt>
                <c:pt idx="78">
                  <c:v>46.601783684941168</c:v>
                </c:pt>
                <c:pt idx="79">
                  <c:v>56.658449931114532</c:v>
                </c:pt>
                <c:pt idx="80">
                  <c:v>59.936543934533468</c:v>
                </c:pt>
                <c:pt idx="81">
                  <c:v>91.728719409611628</c:v>
                </c:pt>
                <c:pt idx="82">
                  <c:v>94.045141503398952</c:v>
                </c:pt>
                <c:pt idx="83">
                  <c:v>79.423082999835799</c:v>
                </c:pt>
                <c:pt idx="84">
                  <c:v>88.203271096262</c:v>
                </c:pt>
                <c:pt idx="85">
                  <c:v>80.410144032503837</c:v>
                </c:pt>
                <c:pt idx="86">
                  <c:v>76.402224355447672</c:v>
                </c:pt>
                <c:pt idx="87">
                  <c:v>89.151528353239769</c:v>
                </c:pt>
                <c:pt idx="88">
                  <c:v>72.561982500267746</c:v>
                </c:pt>
                <c:pt idx="89">
                  <c:v>78.840957664899506</c:v>
                </c:pt>
                <c:pt idx="90">
                  <c:v>60.852280008925497</c:v>
                </c:pt>
                <c:pt idx="91">
                  <c:v>5.5069193912587036</c:v>
                </c:pt>
                <c:pt idx="92">
                  <c:v>-2.2423068718036414</c:v>
                </c:pt>
                <c:pt idx="93">
                  <c:v>-3.3216996633646372</c:v>
                </c:pt>
                <c:pt idx="94">
                  <c:v>-4.1958937258170002</c:v>
                </c:pt>
                <c:pt idx="95">
                  <c:v>-1.411644491362446</c:v>
                </c:pt>
                <c:pt idx="96">
                  <c:v>8.2896279954474945</c:v>
                </c:pt>
                <c:pt idx="97">
                  <c:v>15.316274216528164</c:v>
                </c:pt>
                <c:pt idx="98">
                  <c:v>44.636997792121782</c:v>
                </c:pt>
                <c:pt idx="99">
                  <c:v>90.485223958532274</c:v>
                </c:pt>
                <c:pt idx="100">
                  <c:v>127.03072072160336</c:v>
                </c:pt>
                <c:pt idx="101">
                  <c:v>129.56981771470922</c:v>
                </c:pt>
                <c:pt idx="102">
                  <c:v>84.040293172308409</c:v>
                </c:pt>
                <c:pt idx="103">
                  <c:v>75.858022127872005</c:v>
                </c:pt>
                <c:pt idx="104">
                  <c:v>69.583201021466394</c:v>
                </c:pt>
                <c:pt idx="105">
                  <c:v>89.032010949380819</c:v>
                </c:pt>
                <c:pt idx="106">
                  <c:v>93.782640228653946</c:v>
                </c:pt>
                <c:pt idx="107">
                  <c:v>93.651878633236493</c:v>
                </c:pt>
                <c:pt idx="108">
                  <c:v>90.608223752077734</c:v>
                </c:pt>
                <c:pt idx="109">
                  <c:v>56.603622698371247</c:v>
                </c:pt>
                <c:pt idx="110">
                  <c:v>37.152708032114738</c:v>
                </c:pt>
                <c:pt idx="111">
                  <c:v>35.846704303099536</c:v>
                </c:pt>
                <c:pt idx="112">
                  <c:v>39.191860486529109</c:v>
                </c:pt>
                <c:pt idx="113">
                  <c:v>41.641896170686202</c:v>
                </c:pt>
                <c:pt idx="114">
                  <c:v>56.276502751134593</c:v>
                </c:pt>
                <c:pt idx="115">
                  <c:v>36.957779695586233</c:v>
                </c:pt>
                <c:pt idx="116">
                  <c:v>27.930410436533652</c:v>
                </c:pt>
                <c:pt idx="117">
                  <c:v>27.085787385588439</c:v>
                </c:pt>
                <c:pt idx="118">
                  <c:v>30.659702704533021</c:v>
                </c:pt>
                <c:pt idx="119">
                  <c:v>47.410353447549682</c:v>
                </c:pt>
                <c:pt idx="120">
                  <c:v>60.7905011526191</c:v>
                </c:pt>
                <c:pt idx="121">
                  <c:v>79.815352327298697</c:v>
                </c:pt>
                <c:pt idx="122">
                  <c:v>75.142815152468174</c:v>
                </c:pt>
                <c:pt idx="123">
                  <c:v>82.241936547137684</c:v>
                </c:pt>
                <c:pt idx="124">
                  <c:v>82.13825686700747</c:v>
                </c:pt>
                <c:pt idx="125">
                  <c:v>68.059294899102028</c:v>
                </c:pt>
                <c:pt idx="126">
                  <c:v>76.311053619546584</c:v>
                </c:pt>
                <c:pt idx="127">
                  <c:v>63.745986528978484</c:v>
                </c:pt>
                <c:pt idx="128">
                  <c:v>70.765000120161289</c:v>
                </c:pt>
                <c:pt idx="129">
                  <c:v>94.045141503398952</c:v>
                </c:pt>
                <c:pt idx="130">
                  <c:v>82.763798057457436</c:v>
                </c:pt>
                <c:pt idx="131">
                  <c:v>91.352498397610148</c:v>
                </c:pt>
                <c:pt idx="132">
                  <c:v>106.22653923386649</c:v>
                </c:pt>
                <c:pt idx="133">
                  <c:v>84.148230065844814</c:v>
                </c:pt>
                <c:pt idx="134">
                  <c:v>94.308955039200498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3-45EB-9B55-25B9A02738DC}"/>
            </c:ext>
          </c:extLst>
        </c:ser>
        <c:ser>
          <c:idx val="1"/>
          <c:order val="1"/>
          <c:tx>
            <c:strRef>
              <c:f>'Diferentes médias móveis'!$E$1</c:f>
              <c:strCache>
                <c:ptCount val="1"/>
                <c:pt idx="0">
                  <c:v>UTS_4h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móveis'!$E$2:$E$136</c:f>
              <c:numCache>
                <c:formatCode>General</c:formatCode>
                <c:ptCount val="135"/>
                <c:pt idx="3">
                  <c:v>14.709094446912241</c:v>
                </c:pt>
                <c:pt idx="4">
                  <c:v>-33.977295857428949</c:v>
                </c:pt>
                <c:pt idx="5">
                  <c:v>-39.472324388463946</c:v>
                </c:pt>
                <c:pt idx="6">
                  <c:v>-28.95904677184587</c:v>
                </c:pt>
                <c:pt idx="7">
                  <c:v>12.782027036049531</c:v>
                </c:pt>
                <c:pt idx="8">
                  <c:v>17.84550770354241</c:v>
                </c:pt>
                <c:pt idx="9">
                  <c:v>22.761285961447768</c:v>
                </c:pt>
                <c:pt idx="10">
                  <c:v>22.56455974898137</c:v>
                </c:pt>
                <c:pt idx="11">
                  <c:v>27.92656918176651</c:v>
                </c:pt>
                <c:pt idx="12">
                  <c:v>39.494659290817339</c:v>
                </c:pt>
                <c:pt idx="13">
                  <c:v>46.774782666196877</c:v>
                </c:pt>
                <c:pt idx="14">
                  <c:v>70.678587841337162</c:v>
                </c:pt>
                <c:pt idx="15">
                  <c:v>46.374178095716061</c:v>
                </c:pt>
                <c:pt idx="16">
                  <c:v>47.629815496466023</c:v>
                </c:pt>
                <c:pt idx="17">
                  <c:v>37.79250238926749</c:v>
                </c:pt>
                <c:pt idx="18">
                  <c:v>39.301714415643239</c:v>
                </c:pt>
                <c:pt idx="19">
                  <c:v>62.00917646542937</c:v>
                </c:pt>
                <c:pt idx="20">
                  <c:v>53.974792657644088</c:v>
                </c:pt>
                <c:pt idx="21">
                  <c:v>35.956442222834177</c:v>
                </c:pt>
                <c:pt idx="22">
                  <c:v>-29.075681161874371</c:v>
                </c:pt>
                <c:pt idx="23">
                  <c:v>-54.130552141997498</c:v>
                </c:pt>
                <c:pt idx="24">
                  <c:v>-184.37371539271942</c:v>
                </c:pt>
                <c:pt idx="25">
                  <c:v>-267.13068907344478</c:v>
                </c:pt>
                <c:pt idx="26">
                  <c:v>-271.97789157789271</c:v>
                </c:pt>
                <c:pt idx="27">
                  <c:v>-148.8691704500043</c:v>
                </c:pt>
                <c:pt idx="28">
                  <c:v>-50.573088421465876</c:v>
                </c:pt>
                <c:pt idx="29">
                  <c:v>-35.329910090250635</c:v>
                </c:pt>
                <c:pt idx="30">
                  <c:v>-26.345780304837902</c:v>
                </c:pt>
                <c:pt idx="31">
                  <c:v>19.945002261261262</c:v>
                </c:pt>
                <c:pt idx="32">
                  <c:v>27.426335720637663</c:v>
                </c:pt>
                <c:pt idx="33">
                  <c:v>35.713735096140546</c:v>
                </c:pt>
                <c:pt idx="34">
                  <c:v>40.443681972470607</c:v>
                </c:pt>
                <c:pt idx="35">
                  <c:v>40.919917688875927</c:v>
                </c:pt>
                <c:pt idx="36">
                  <c:v>47.814790118998864</c:v>
                </c:pt>
                <c:pt idx="37">
                  <c:v>40.627498431888462</c:v>
                </c:pt>
                <c:pt idx="38">
                  <c:v>42.217202427564956</c:v>
                </c:pt>
                <c:pt idx="39">
                  <c:v>47.388645620321782</c:v>
                </c:pt>
                <c:pt idx="40">
                  <c:v>52.346599296587002</c:v>
                </c:pt>
                <c:pt idx="41">
                  <c:v>61.053684988173998</c:v>
                </c:pt>
                <c:pt idx="42">
                  <c:v>58.221448246237543</c:v>
                </c:pt>
                <c:pt idx="43">
                  <c:v>18.92110209587829</c:v>
                </c:pt>
                <c:pt idx="44">
                  <c:v>-49.982374866719731</c:v>
                </c:pt>
                <c:pt idx="45">
                  <c:v>-62.089768889063265</c:v>
                </c:pt>
                <c:pt idx="46">
                  <c:v>-233.67336722283011</c:v>
                </c:pt>
                <c:pt idx="47">
                  <c:v>-484.37717461836468</c:v>
                </c:pt>
                <c:pt idx="48">
                  <c:v>-488.8762000698905</c:v>
                </c:pt>
                <c:pt idx="49">
                  <c:v>-418.82883974974482</c:v>
                </c:pt>
                <c:pt idx="50">
                  <c:v>-210.45001079645539</c:v>
                </c:pt>
                <c:pt idx="51">
                  <c:v>-49.619339198662331</c:v>
                </c:pt>
                <c:pt idx="52">
                  <c:v>24.778890713779518</c:v>
                </c:pt>
                <c:pt idx="53">
                  <c:v>42.449800173945803</c:v>
                </c:pt>
                <c:pt idx="54">
                  <c:v>43.628080912516246</c:v>
                </c:pt>
                <c:pt idx="55">
                  <c:v>37.656493468494503</c:v>
                </c:pt>
                <c:pt idx="56">
                  <c:v>40.054901499808437</c:v>
                </c:pt>
                <c:pt idx="57">
                  <c:v>34.92831706675301</c:v>
                </c:pt>
                <c:pt idx="58">
                  <c:v>38.093342022527686</c:v>
                </c:pt>
                <c:pt idx="59">
                  <c:v>50.297575417811444</c:v>
                </c:pt>
                <c:pt idx="60">
                  <c:v>42.513573625117012</c:v>
                </c:pt>
                <c:pt idx="61">
                  <c:v>51.3334791085327</c:v>
                </c:pt>
                <c:pt idx="62">
                  <c:v>55.639777193382891</c:v>
                </c:pt>
                <c:pt idx="63">
                  <c:v>50.154865766429836</c:v>
                </c:pt>
                <c:pt idx="64">
                  <c:v>49.599509840248615</c:v>
                </c:pt>
                <c:pt idx="65">
                  <c:v>55.267157554352906</c:v>
                </c:pt>
                <c:pt idx="66">
                  <c:v>49.441125053652968</c:v>
                </c:pt>
                <c:pt idx="67">
                  <c:v>43.016740829124352</c:v>
                </c:pt>
                <c:pt idx="68">
                  <c:v>28.325657003666581</c:v>
                </c:pt>
                <c:pt idx="69">
                  <c:v>-29.236848562014263</c:v>
                </c:pt>
                <c:pt idx="70">
                  <c:v>-41.756365885959355</c:v>
                </c:pt>
                <c:pt idx="71">
                  <c:v>-46.996768948018122</c:v>
                </c:pt>
                <c:pt idx="72">
                  <c:v>-45.208011256576754</c:v>
                </c:pt>
                <c:pt idx="73">
                  <c:v>-35.878558459168232</c:v>
                </c:pt>
                <c:pt idx="74">
                  <c:v>15.59568273501257</c:v>
                </c:pt>
                <c:pt idx="75">
                  <c:v>35.645417561312598</c:v>
                </c:pt>
                <c:pt idx="76">
                  <c:v>37.319201515663039</c:v>
                </c:pt>
                <c:pt idx="77">
                  <c:v>31.924869523065851</c:v>
                </c:pt>
                <c:pt idx="78">
                  <c:v>33.200867049020786</c:v>
                </c:pt>
                <c:pt idx="79">
                  <c:v>38.02199825316049</c:v>
                </c:pt>
                <c:pt idx="80">
                  <c:v>40.079666606734129</c:v>
                </c:pt>
                <c:pt idx="81">
                  <c:v>53.687716223061166</c:v>
                </c:pt>
                <c:pt idx="82">
                  <c:v>55.15002456815423</c:v>
                </c:pt>
                <c:pt idx="83">
                  <c:v>49.639231101147409</c:v>
                </c:pt>
                <c:pt idx="84">
                  <c:v>53.027112327337363</c:v>
                </c:pt>
                <c:pt idx="85">
                  <c:v>48.58124288554486</c:v>
                </c:pt>
                <c:pt idx="86">
                  <c:v>47.00798763717755</c:v>
                </c:pt>
                <c:pt idx="87">
                  <c:v>51.641491386023432</c:v>
                </c:pt>
                <c:pt idx="88">
                  <c:v>45.991457025166397</c:v>
                </c:pt>
                <c:pt idx="89">
                  <c:v>49.13380478620585</c:v>
                </c:pt>
                <c:pt idx="90">
                  <c:v>39.572588635408827</c:v>
                </c:pt>
                <c:pt idx="91">
                  <c:v>-33.033312337186821</c:v>
                </c:pt>
                <c:pt idx="92">
                  <c:v>-47.198106596818</c:v>
                </c:pt>
                <c:pt idx="93">
                  <c:v>-50.503454621152265</c:v>
                </c:pt>
                <c:pt idx="94">
                  <c:v>-53.473495157210515</c:v>
                </c:pt>
                <c:pt idx="95">
                  <c:v>-45.267206635053306</c:v>
                </c:pt>
                <c:pt idx="96">
                  <c:v>-30.896901421588506</c:v>
                </c:pt>
                <c:pt idx="97">
                  <c:v>12.41379564767054</c:v>
                </c:pt>
                <c:pt idx="98">
                  <c:v>29.505711160161617</c:v>
                </c:pt>
                <c:pt idx="99">
                  <c:v>49.839842411763499</c:v>
                </c:pt>
                <c:pt idx="100">
                  <c:v>63.390308368229611</c:v>
                </c:pt>
                <c:pt idx="101">
                  <c:v>65.991811978164321</c:v>
                </c:pt>
                <c:pt idx="102">
                  <c:v>50.44910668046969</c:v>
                </c:pt>
                <c:pt idx="103">
                  <c:v>47.834157372184499</c:v>
                </c:pt>
                <c:pt idx="104">
                  <c:v>45.044858423072768</c:v>
                </c:pt>
                <c:pt idx="105">
                  <c:v>54.243201179217316</c:v>
                </c:pt>
                <c:pt idx="106">
                  <c:v>56.455853790863387</c:v>
                </c:pt>
                <c:pt idx="107">
                  <c:v>56.528198229832817</c:v>
                </c:pt>
                <c:pt idx="108">
                  <c:v>55.45573827322319</c:v>
                </c:pt>
                <c:pt idx="109">
                  <c:v>39.208283423675013</c:v>
                </c:pt>
                <c:pt idx="110">
                  <c:v>28.26229296377284</c:v>
                </c:pt>
                <c:pt idx="111">
                  <c:v>26.735248539533359</c:v>
                </c:pt>
                <c:pt idx="112">
                  <c:v>28.784149324619918</c:v>
                </c:pt>
                <c:pt idx="113">
                  <c:v>30.51593342961668</c:v>
                </c:pt>
                <c:pt idx="114">
                  <c:v>39.59971938806828</c:v>
                </c:pt>
                <c:pt idx="115">
                  <c:v>28.531318210599434</c:v>
                </c:pt>
                <c:pt idx="116">
                  <c:v>22.392566208996961</c:v>
                </c:pt>
                <c:pt idx="117">
                  <c:v>21.774985112472688</c:v>
                </c:pt>
                <c:pt idx="118">
                  <c:v>24.254794436991499</c:v>
                </c:pt>
                <c:pt idx="119">
                  <c:v>34.585780377531513</c:v>
                </c:pt>
                <c:pt idx="120">
                  <c:v>41.19752851177747</c:v>
                </c:pt>
                <c:pt idx="121">
                  <c:v>50.178020496421517</c:v>
                </c:pt>
                <c:pt idx="122">
                  <c:v>48.218346235461141</c:v>
                </c:pt>
                <c:pt idx="123">
                  <c:v>54.297394202334672</c:v>
                </c:pt>
                <c:pt idx="124">
                  <c:v>53.914616970599319</c:v>
                </c:pt>
                <c:pt idx="125">
                  <c:v>44.676137877867838</c:v>
                </c:pt>
                <c:pt idx="126">
                  <c:v>49.057006847454069</c:v>
                </c:pt>
                <c:pt idx="127">
                  <c:v>43.195683823439964</c:v>
                </c:pt>
                <c:pt idx="128">
                  <c:v>46.510000811329178</c:v>
                </c:pt>
                <c:pt idx="129">
                  <c:v>58.209322083946581</c:v>
                </c:pt>
                <c:pt idx="130">
                  <c:v>55.020471309307261</c:v>
                </c:pt>
                <c:pt idx="131">
                  <c:v>60.062121532728561</c:v>
                </c:pt>
                <c:pt idx="132">
                  <c:v>68.390018636452211</c:v>
                </c:pt>
                <c:pt idx="133">
                  <c:v>57.299028386116525</c:v>
                </c:pt>
                <c:pt idx="134">
                  <c:v>62.091770282528337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83-45EB-9B55-25B9A0273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151896"/>
        <c:axId val="573152616"/>
      </c:scatterChart>
      <c:valAx>
        <c:axId val="57315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3152616"/>
        <c:crosses val="autoZero"/>
        <c:crossBetween val="midCat"/>
        <c:majorUnit val="0.5"/>
      </c:valAx>
      <c:valAx>
        <c:axId val="573152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73151896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Médias móveis 6h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3.5034808338341106E-2"/>
          <c:y val="0.14438133733566599"/>
          <c:w val="0.92993038332331779"/>
          <c:h val="0.730782718611501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'Diferentes médias móveis'!$H$1</c:f>
              <c:strCache>
                <c:ptCount val="1"/>
                <c:pt idx="0">
                  <c:v>N0_6h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móveis'!$H$2:$H$136</c:f>
              <c:numCache>
                <c:formatCode>General</c:formatCode>
                <c:ptCount val="135"/>
                <c:pt idx="5">
                  <c:v>16.415634190343205</c:v>
                </c:pt>
                <c:pt idx="6">
                  <c:v>9.3899154496177211</c:v>
                </c:pt>
                <c:pt idx="7">
                  <c:v>5.1109556470193152</c:v>
                </c:pt>
                <c:pt idx="8">
                  <c:v>13.143693756931491</c:v>
                </c:pt>
                <c:pt idx="9">
                  <c:v>19.217849856819235</c:v>
                </c:pt>
                <c:pt idx="10">
                  <c:v>25.73933382323046</c:v>
                </c:pt>
                <c:pt idx="11">
                  <c:v>32.515462128848256</c:v>
                </c:pt>
                <c:pt idx="12">
                  <c:v>40.842432087557413</c:v>
                </c:pt>
                <c:pt idx="13">
                  <c:v>54.669691694500344</c:v>
                </c:pt>
                <c:pt idx="14">
                  <c:v>75.588440081252458</c:v>
                </c:pt>
                <c:pt idx="15">
                  <c:v>58.499327042945879</c:v>
                </c:pt>
                <c:pt idx="16">
                  <c:v>85.72256679931877</c:v>
                </c:pt>
                <c:pt idx="17">
                  <c:v>74.701727464748402</c:v>
                </c:pt>
                <c:pt idx="18">
                  <c:v>75.708048630881379</c:v>
                </c:pt>
                <c:pt idx="19">
                  <c:v>75.290849212109919</c:v>
                </c:pt>
                <c:pt idx="20">
                  <c:v>76.738142963512388</c:v>
                </c:pt>
                <c:pt idx="21">
                  <c:v>66.880801871271657</c:v>
                </c:pt>
                <c:pt idx="22">
                  <c:v>20.656816536664564</c:v>
                </c:pt>
                <c:pt idx="23">
                  <c:v>0.45104472838655013</c:v>
                </c:pt>
                <c:pt idx="24">
                  <c:v>-5.4561618859094141</c:v>
                </c:pt>
                <c:pt idx="25">
                  <c:v>-6.5876767643853293</c:v>
                </c:pt>
                <c:pt idx="26">
                  <c:v>-6.9896480159925281</c:v>
                </c:pt>
                <c:pt idx="27">
                  <c:v>-7.0702006232677697</c:v>
                </c:pt>
                <c:pt idx="28">
                  <c:v>-6.828891220105743</c:v>
                </c:pt>
                <c:pt idx="29">
                  <c:v>-5.3403695747456457</c:v>
                </c:pt>
                <c:pt idx="30">
                  <c:v>0.47132322160080148</c:v>
                </c:pt>
                <c:pt idx="31">
                  <c:v>9.4761771831924477</c:v>
                </c:pt>
                <c:pt idx="32">
                  <c:v>20.191383307806284</c:v>
                </c:pt>
                <c:pt idx="33">
                  <c:v>34.342670881661043</c:v>
                </c:pt>
                <c:pt idx="34">
                  <c:v>47.561038629227546</c:v>
                </c:pt>
                <c:pt idx="35">
                  <c:v>51.486285961442022</c:v>
                </c:pt>
                <c:pt idx="36">
                  <c:v>60.27975118802398</c:v>
                </c:pt>
                <c:pt idx="37">
                  <c:v>62.367313290731119</c:v>
                </c:pt>
                <c:pt idx="38">
                  <c:v>69.325175482328348</c:v>
                </c:pt>
                <c:pt idx="39">
                  <c:v>63.902355813050349</c:v>
                </c:pt>
                <c:pt idx="40">
                  <c:v>74.120549515705974</c:v>
                </c:pt>
                <c:pt idx="41">
                  <c:v>88.164147973012646</c:v>
                </c:pt>
                <c:pt idx="42">
                  <c:v>86.246385474330083</c:v>
                </c:pt>
                <c:pt idx="43">
                  <c:v>35.185297542256741</c:v>
                </c:pt>
                <c:pt idx="44">
                  <c:v>1.6067749012029884</c:v>
                </c:pt>
                <c:pt idx="45">
                  <c:v>-2.2298048995215787</c:v>
                </c:pt>
                <c:pt idx="46">
                  <c:v>-6.0835849524993</c:v>
                </c:pt>
                <c:pt idx="47">
                  <c:v>-8.0528309183883149</c:v>
                </c:pt>
                <c:pt idx="48">
                  <c:v>-8.6079924962080057</c:v>
                </c:pt>
                <c:pt idx="49">
                  <c:v>-8.5537127037590164</c:v>
                </c:pt>
                <c:pt idx="50">
                  <c:v>-7.9945982140009111</c:v>
                </c:pt>
                <c:pt idx="51">
                  <c:v>-7.5583028732815638</c:v>
                </c:pt>
                <c:pt idx="52">
                  <c:v>-5.8638728068764001</c:v>
                </c:pt>
                <c:pt idx="53">
                  <c:v>2.2332541882821175</c:v>
                </c:pt>
                <c:pt idx="54">
                  <c:v>43.613766730991244</c:v>
                </c:pt>
                <c:pt idx="55">
                  <c:v>58.615269600439809</c:v>
                </c:pt>
                <c:pt idx="56">
                  <c:v>69.583201021466394</c:v>
                </c:pt>
                <c:pt idx="57">
                  <c:v>58.383767297487353</c:v>
                </c:pt>
                <c:pt idx="58">
                  <c:v>55.051128298584814</c:v>
                </c:pt>
                <c:pt idx="59">
                  <c:v>61.517885048783718</c:v>
                </c:pt>
                <c:pt idx="60">
                  <c:v>64.171934871420092</c:v>
                </c:pt>
                <c:pt idx="61">
                  <c:v>74.120549515705918</c:v>
                </c:pt>
                <c:pt idx="62">
                  <c:v>70.685142783134893</c:v>
                </c:pt>
                <c:pt idx="63">
                  <c:v>87.542327621829543</c:v>
                </c:pt>
                <c:pt idx="64">
                  <c:v>82.345846077584227</c:v>
                </c:pt>
                <c:pt idx="65">
                  <c:v>79.913949094888068</c:v>
                </c:pt>
                <c:pt idx="66">
                  <c:v>85.130749621641044</c:v>
                </c:pt>
                <c:pt idx="67">
                  <c:v>81.520963215934373</c:v>
                </c:pt>
                <c:pt idx="68">
                  <c:v>51.455061726737803</c:v>
                </c:pt>
                <c:pt idx="69">
                  <c:v>20.886436366347244</c:v>
                </c:pt>
                <c:pt idx="70">
                  <c:v>7.7380194803308804</c:v>
                </c:pt>
                <c:pt idx="71">
                  <c:v>4.0340669725935179</c:v>
                </c:pt>
                <c:pt idx="72">
                  <c:v>4.047379348013437</c:v>
                </c:pt>
                <c:pt idx="73">
                  <c:v>4.2322786218953006</c:v>
                </c:pt>
                <c:pt idx="74">
                  <c:v>5.5069193912586982</c:v>
                </c:pt>
                <c:pt idx="75">
                  <c:v>10.455317602959772</c:v>
                </c:pt>
                <c:pt idx="76">
                  <c:v>29.796005951216493</c:v>
                </c:pt>
                <c:pt idx="77">
                  <c:v>55.6848733465892</c:v>
                </c:pt>
                <c:pt idx="78">
                  <c:v>56.294593617676981</c:v>
                </c:pt>
                <c:pt idx="79">
                  <c:v>55.720435493574549</c:v>
                </c:pt>
                <c:pt idx="80">
                  <c:v>54.842528520946686</c:v>
                </c:pt>
                <c:pt idx="81">
                  <c:v>66.114346559370247</c:v>
                </c:pt>
                <c:pt idx="82">
                  <c:v>71.490761356040082</c:v>
                </c:pt>
                <c:pt idx="83">
                  <c:v>82.069264398533562</c:v>
                </c:pt>
                <c:pt idx="84">
                  <c:v>85.722566799318628</c:v>
                </c:pt>
                <c:pt idx="85">
                  <c:v>85.057278695544497</c:v>
                </c:pt>
                <c:pt idx="86">
                  <c:v>85.573933931855279</c:v>
                </c:pt>
                <c:pt idx="87">
                  <c:v>80.643549797358844</c:v>
                </c:pt>
                <c:pt idx="88">
                  <c:v>72.534169957557538</c:v>
                </c:pt>
                <c:pt idx="89">
                  <c:v>84.618788683977257</c:v>
                </c:pt>
                <c:pt idx="90">
                  <c:v>66.447818393534064</c:v>
                </c:pt>
                <c:pt idx="91">
                  <c:v>11.865085696571185</c:v>
                </c:pt>
                <c:pt idx="92">
                  <c:v>1.6013662675208749</c:v>
                </c:pt>
                <c:pt idx="93">
                  <c:v>0.22376775010176514</c:v>
                </c:pt>
                <c:pt idx="94">
                  <c:v>-1.1018873614501212</c:v>
                </c:pt>
                <c:pt idx="95">
                  <c:v>-1.6480006078566145</c:v>
                </c:pt>
                <c:pt idx="96">
                  <c:v>-1.5795049762490256</c:v>
                </c:pt>
                <c:pt idx="97">
                  <c:v>2.5929220724000239</c:v>
                </c:pt>
                <c:pt idx="98">
                  <c:v>16.250930262251835</c:v>
                </c:pt>
                <c:pt idx="99">
                  <c:v>26.203688885982917</c:v>
                </c:pt>
                <c:pt idx="100">
                  <c:v>58.230279852566269</c:v>
                </c:pt>
                <c:pt idx="101">
                  <c:v>92.660062300870209</c:v>
                </c:pt>
                <c:pt idx="102">
                  <c:v>95.738534922286703</c:v>
                </c:pt>
                <c:pt idx="103">
                  <c:v>96.101986283549337</c:v>
                </c:pt>
                <c:pt idx="104">
                  <c:v>82.069264398533562</c:v>
                </c:pt>
                <c:pt idx="105">
                  <c:v>91.644877077379988</c:v>
                </c:pt>
                <c:pt idx="106">
                  <c:v>80.710455055801418</c:v>
                </c:pt>
                <c:pt idx="107">
                  <c:v>80.177917744732341</c:v>
                </c:pt>
                <c:pt idx="108">
                  <c:v>86.171208919680481</c:v>
                </c:pt>
                <c:pt idx="109">
                  <c:v>72.86913997456341</c:v>
                </c:pt>
                <c:pt idx="110">
                  <c:v>49.754578376229077</c:v>
                </c:pt>
                <c:pt idx="111">
                  <c:v>42.975444763447022</c:v>
                </c:pt>
                <c:pt idx="112">
                  <c:v>47.124806515796791</c:v>
                </c:pt>
                <c:pt idx="113">
                  <c:v>43.878133119334272</c:v>
                </c:pt>
                <c:pt idx="114">
                  <c:v>39.43584267388399</c:v>
                </c:pt>
                <c:pt idx="115">
                  <c:v>33.291687516870148</c:v>
                </c:pt>
                <c:pt idx="116">
                  <c:v>37.85227789686266</c:v>
                </c:pt>
                <c:pt idx="117">
                  <c:v>35.548509757386832</c:v>
                </c:pt>
                <c:pt idx="118">
                  <c:v>33.354969944937473</c:v>
                </c:pt>
                <c:pt idx="119">
                  <c:v>35.899719689406325</c:v>
                </c:pt>
                <c:pt idx="120">
                  <c:v>39.39501600989108</c:v>
                </c:pt>
                <c:pt idx="121">
                  <c:v>56.07813858620424</c:v>
                </c:pt>
                <c:pt idx="122">
                  <c:v>64.946317276508594</c:v>
                </c:pt>
                <c:pt idx="123">
                  <c:v>79.979798646041303</c:v>
                </c:pt>
                <c:pt idx="124">
                  <c:v>79.78253398510401</c:v>
                </c:pt>
                <c:pt idx="125">
                  <c:v>72.813126312959824</c:v>
                </c:pt>
                <c:pt idx="126">
                  <c:v>75.827986176654889</c:v>
                </c:pt>
                <c:pt idx="127">
                  <c:v>68.560858854120013</c:v>
                </c:pt>
                <c:pt idx="128">
                  <c:v>76.493584606035824</c:v>
                </c:pt>
                <c:pt idx="129">
                  <c:v>78.873102339480369</c:v>
                </c:pt>
                <c:pt idx="130">
                  <c:v>76.189786421169686</c:v>
                </c:pt>
                <c:pt idx="131">
                  <c:v>82.903943899138582</c:v>
                </c:pt>
                <c:pt idx="132">
                  <c:v>94.485564631083534</c:v>
                </c:pt>
                <c:pt idx="133">
                  <c:v>97.487152857353124</c:v>
                </c:pt>
                <c:pt idx="134">
                  <c:v>92.660062300870209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79-4431-AB80-4E649B0AA0F3}"/>
            </c:ext>
          </c:extLst>
        </c:ser>
        <c:ser>
          <c:idx val="1"/>
          <c:order val="1"/>
          <c:tx>
            <c:strRef>
              <c:f>'Diferentes médias móveis'!$I$1</c:f>
              <c:strCache>
                <c:ptCount val="1"/>
                <c:pt idx="0">
                  <c:v>UTS_6h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móveis'!$I$2:$I$136</c:f>
              <c:numCache>
                <c:formatCode>General</c:formatCode>
                <c:ptCount val="135"/>
                <c:pt idx="5">
                  <c:v>13.235131359945429</c:v>
                </c:pt>
                <c:pt idx="6">
                  <c:v>-29.473360162990542</c:v>
                </c:pt>
                <c:pt idx="7">
                  <c:v>-33.5811161922867</c:v>
                </c:pt>
                <c:pt idx="8">
                  <c:v>-26.414754601796041</c:v>
                </c:pt>
                <c:pt idx="9">
                  <c:v>15.996832682749721</c:v>
                </c:pt>
                <c:pt idx="10">
                  <c:v>20.543170945674529</c:v>
                </c:pt>
                <c:pt idx="11">
                  <c:v>25.018709077111168</c:v>
                </c:pt>
                <c:pt idx="12">
                  <c:v>29.904934402932849</c:v>
                </c:pt>
                <c:pt idx="13">
                  <c:v>37.425373074403687</c:v>
                </c:pt>
                <c:pt idx="14">
                  <c:v>47.569573228413994</c:v>
                </c:pt>
                <c:pt idx="15">
                  <c:v>39.631845341806901</c:v>
                </c:pt>
                <c:pt idx="16">
                  <c:v>52.436512770523215</c:v>
                </c:pt>
                <c:pt idx="17">
                  <c:v>47.981336625254521</c:v>
                </c:pt>
                <c:pt idx="18">
                  <c:v>47.207219796827133</c:v>
                </c:pt>
                <c:pt idx="19">
                  <c:v>45.224176548560763</c:v>
                </c:pt>
                <c:pt idx="20">
                  <c:v>43.30119412103582</c:v>
                </c:pt>
                <c:pt idx="21">
                  <c:v>37.979004780648118</c:v>
                </c:pt>
                <c:pt idx="22">
                  <c:v>14.25389437023918</c:v>
                </c:pt>
                <c:pt idx="23">
                  <c:v>-44.575574660448538</c:v>
                </c:pt>
                <c:pt idx="24">
                  <c:v>-67.375111485943364</c:v>
                </c:pt>
                <c:pt idx="25">
                  <c:v>-111.23213870745209</c:v>
                </c:pt>
                <c:pt idx="26">
                  <c:v>-143.7609452081021</c:v>
                </c:pt>
                <c:pt idx="27">
                  <c:v>-147.17567453885269</c:v>
                </c:pt>
                <c:pt idx="28">
                  <c:v>-111.7884817450103</c:v>
                </c:pt>
                <c:pt idx="29">
                  <c:v>-59.355283576688997</c:v>
                </c:pt>
                <c:pt idx="30">
                  <c:v>-41.579421747849722</c:v>
                </c:pt>
                <c:pt idx="31">
                  <c:v>-29.4600888324333</c:v>
                </c:pt>
                <c:pt idx="32">
                  <c:v>16.47485166931391</c:v>
                </c:pt>
                <c:pt idx="33">
                  <c:v>26.02104595419792</c:v>
                </c:pt>
                <c:pt idx="34">
                  <c:v>34.085509656244291</c:v>
                </c:pt>
                <c:pt idx="35">
                  <c:v>36.406003879565191</c:v>
                </c:pt>
                <c:pt idx="36">
                  <c:v>41.224120498177122</c:v>
                </c:pt>
                <c:pt idx="37">
                  <c:v>42.444393434880737</c:v>
                </c:pt>
                <c:pt idx="38">
                  <c:v>46.016008261465061</c:v>
                </c:pt>
                <c:pt idx="39">
                  <c:v>43.537670820500388</c:v>
                </c:pt>
                <c:pt idx="40">
                  <c:v>48.66677167192443</c:v>
                </c:pt>
                <c:pt idx="41">
                  <c:v>54.647850658365002</c:v>
                </c:pt>
                <c:pt idx="42">
                  <c:v>50.697295074146432</c:v>
                </c:pt>
                <c:pt idx="43">
                  <c:v>24.046624425264572</c:v>
                </c:pt>
                <c:pt idx="44">
                  <c:v>-41.081389662853404</c:v>
                </c:pt>
                <c:pt idx="45">
                  <c:v>-50.648707450753292</c:v>
                </c:pt>
                <c:pt idx="46">
                  <c:v>-86.833218617149413</c:v>
                </c:pt>
                <c:pt idx="47">
                  <c:v>-266.65709194752367</c:v>
                </c:pt>
                <c:pt idx="48">
                  <c:v>-368.60358881221612</c:v>
                </c:pt>
                <c:pt idx="49">
                  <c:v>-357.11641645862971</c:v>
                </c:pt>
                <c:pt idx="50">
                  <c:v>-252.35572767586228</c:v>
                </c:pt>
                <c:pt idx="51">
                  <c:v>-189.18761160291652</c:v>
                </c:pt>
                <c:pt idx="52">
                  <c:v>-68.28290219805406</c:v>
                </c:pt>
                <c:pt idx="53">
                  <c:v>-38.561743458975826</c:v>
                </c:pt>
                <c:pt idx="54">
                  <c:v>30.221112077110018</c:v>
                </c:pt>
                <c:pt idx="55">
                  <c:v>38.475577769717788</c:v>
                </c:pt>
                <c:pt idx="56">
                  <c:v>44.447736814982207</c:v>
                </c:pt>
                <c:pt idx="57">
                  <c:v>39.636635400926515</c:v>
                </c:pt>
                <c:pt idx="58">
                  <c:v>38.202720854592847</c:v>
                </c:pt>
                <c:pt idx="59">
                  <c:v>41.725423912248601</c:v>
                </c:pt>
                <c:pt idx="60">
                  <c:v>42.920024154159591</c:v>
                </c:pt>
                <c:pt idx="61">
                  <c:v>47.67874480722439</c:v>
                </c:pt>
                <c:pt idx="62">
                  <c:v>46.096561876501049</c:v>
                </c:pt>
                <c:pt idx="63">
                  <c:v>53.808307901318784</c:v>
                </c:pt>
                <c:pt idx="64">
                  <c:v>51.778875267838785</c:v>
                </c:pt>
                <c:pt idx="65">
                  <c:v>50.86697967424395</c:v>
                </c:pt>
                <c:pt idx="66">
                  <c:v>50.496117803474228</c:v>
                </c:pt>
                <c:pt idx="67">
                  <c:v>45.782344259346992</c:v>
                </c:pt>
                <c:pt idx="68">
                  <c:v>30.970362008197476</c:v>
                </c:pt>
                <c:pt idx="69">
                  <c:v>14.21102750501039</c:v>
                </c:pt>
                <c:pt idx="70">
                  <c:v>-34.422994563217514</c:v>
                </c:pt>
                <c:pt idx="71">
                  <c:v>-39.281372459981959</c:v>
                </c:pt>
                <c:pt idx="72">
                  <c:v>-39.389296727213342</c:v>
                </c:pt>
                <c:pt idx="73">
                  <c:v>-36.84983570956966</c:v>
                </c:pt>
                <c:pt idx="74">
                  <c:v>-36.72196424907866</c:v>
                </c:pt>
                <c:pt idx="75">
                  <c:v>-30.971608215090203</c:v>
                </c:pt>
                <c:pt idx="76">
                  <c:v>21.049069393770008</c:v>
                </c:pt>
                <c:pt idx="77">
                  <c:v>36.67953914119385</c:v>
                </c:pt>
                <c:pt idx="78">
                  <c:v>38.348405774174502</c:v>
                </c:pt>
                <c:pt idx="79">
                  <c:v>37.55117386260315</c:v>
                </c:pt>
                <c:pt idx="80">
                  <c:v>37.510992723629023</c:v>
                </c:pt>
                <c:pt idx="81">
                  <c:v>42.682129815581774</c:v>
                </c:pt>
                <c:pt idx="82">
                  <c:v>45.551456352925399</c:v>
                </c:pt>
                <c:pt idx="83">
                  <c:v>50.796461215337715</c:v>
                </c:pt>
                <c:pt idx="84">
                  <c:v>51.990539189206764</c:v>
                </c:pt>
                <c:pt idx="85">
                  <c:v>50.498893086009829</c:v>
                </c:pt>
                <c:pt idx="86">
                  <c:v>50.850086174189777</c:v>
                </c:pt>
                <c:pt idx="87">
                  <c:v>48.225141327453194</c:v>
                </c:pt>
                <c:pt idx="88">
                  <c:v>45.978902097407598</c:v>
                </c:pt>
                <c:pt idx="89">
                  <c:v>51.627084591025927</c:v>
                </c:pt>
                <c:pt idx="90">
                  <c:v>42.177206079662149</c:v>
                </c:pt>
                <c:pt idx="91">
                  <c:v>-27.31604595965193</c:v>
                </c:pt>
                <c:pt idx="92">
                  <c:v>-38.902056575622865</c:v>
                </c:pt>
                <c:pt idx="93">
                  <c:v>-41.641450752373835</c:v>
                </c:pt>
                <c:pt idx="94">
                  <c:v>-44.570983874451741</c:v>
                </c:pt>
                <c:pt idx="95">
                  <c:v>-45.84925564445394</c:v>
                </c:pt>
                <c:pt idx="96">
                  <c:v>-45.99476141334241</c:v>
                </c:pt>
                <c:pt idx="97">
                  <c:v>-37.821852303252911</c:v>
                </c:pt>
                <c:pt idx="98">
                  <c:v>12.854681151631258</c:v>
                </c:pt>
                <c:pt idx="99">
                  <c:v>19.526062795315312</c:v>
                </c:pt>
                <c:pt idx="100">
                  <c:v>37.45315919781266</c:v>
                </c:pt>
                <c:pt idx="101">
                  <c:v>53.019176639227879</c:v>
                </c:pt>
                <c:pt idx="102">
                  <c:v>55.137397877728525</c:v>
                </c:pt>
                <c:pt idx="103">
                  <c:v>56.385536914609688</c:v>
                </c:pt>
                <c:pt idx="104">
                  <c:v>50.64582152530167</c:v>
                </c:pt>
                <c:pt idx="105">
                  <c:v>55.344679988435587</c:v>
                </c:pt>
                <c:pt idx="106">
                  <c:v>50.821875109225488</c:v>
                </c:pt>
                <c:pt idx="107">
                  <c:v>50.690676774401958</c:v>
                </c:pt>
                <c:pt idx="108">
                  <c:v>53.536789821069775</c:v>
                </c:pt>
                <c:pt idx="109">
                  <c:v>47.210922103221897</c:v>
                </c:pt>
                <c:pt idx="110">
                  <c:v>35.600902609446869</c:v>
                </c:pt>
                <c:pt idx="111">
                  <c:v>30.906475270394061</c:v>
                </c:pt>
                <c:pt idx="112">
                  <c:v>33.278988311864225</c:v>
                </c:pt>
                <c:pt idx="113">
                  <c:v>31.802350592947182</c:v>
                </c:pt>
                <c:pt idx="114">
                  <c:v>30.006338998237332</c:v>
                </c:pt>
                <c:pt idx="115">
                  <c:v>26.196908071267782</c:v>
                </c:pt>
                <c:pt idx="116">
                  <c:v>28.760071830503549</c:v>
                </c:pt>
                <c:pt idx="117">
                  <c:v>27.269456040889771</c:v>
                </c:pt>
                <c:pt idx="118">
                  <c:v>26.002366751698542</c:v>
                </c:pt>
                <c:pt idx="119">
                  <c:v>27.71050325007166</c:v>
                </c:pt>
                <c:pt idx="120">
                  <c:v>29.47656936882818</c:v>
                </c:pt>
                <c:pt idx="121">
                  <c:v>38.792463810300347</c:v>
                </c:pt>
                <c:pt idx="122">
                  <c:v>43.385985251108359</c:v>
                </c:pt>
                <c:pt idx="123">
                  <c:v>53.20362244573883</c:v>
                </c:pt>
                <c:pt idx="124">
                  <c:v>52.786044307270267</c:v>
                </c:pt>
                <c:pt idx="125">
                  <c:v>46.906487505823719</c:v>
                </c:pt>
                <c:pt idx="126">
                  <c:v>48.834433948123312</c:v>
                </c:pt>
                <c:pt idx="127">
                  <c:v>45.566948055243564</c:v>
                </c:pt>
                <c:pt idx="128">
                  <c:v>49.19216829058746</c:v>
                </c:pt>
                <c:pt idx="129">
                  <c:v>51.342068270454554</c:v>
                </c:pt>
                <c:pt idx="130">
                  <c:v>51.773529746138955</c:v>
                </c:pt>
                <c:pt idx="131">
                  <c:v>55.912652630593804</c:v>
                </c:pt>
                <c:pt idx="132">
                  <c:v>62.656343736265583</c:v>
                </c:pt>
                <c:pt idx="133">
                  <c:v>63.934770782009608</c:v>
                </c:pt>
                <c:pt idx="134">
                  <c:v>61.28479844299676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79-4431-AB80-4E649B0A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566312"/>
        <c:axId val="536563792"/>
      </c:scatterChart>
      <c:valAx>
        <c:axId val="536566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6563792"/>
        <c:crosses val="autoZero"/>
        <c:crossBetween val="midCat"/>
        <c:majorUnit val="0.5"/>
      </c:valAx>
      <c:valAx>
        <c:axId val="5365637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6566312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33756470402886"/>
          <c:y val="0.92487349863455726"/>
          <c:w val="9.3177704783402357E-2"/>
          <c:h val="7.5126501365442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Médias móveis 8h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'Diferentes médias móveis'!$L$1</c:f>
              <c:strCache>
                <c:ptCount val="1"/>
                <c:pt idx="0">
                  <c:v>N0_8h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móveis'!$L$2:$L$136</c:f>
              <c:numCache>
                <c:formatCode>General</c:formatCode>
                <c:ptCount val="135"/>
                <c:pt idx="7">
                  <c:v>18.225611867464693</c:v>
                </c:pt>
                <c:pt idx="8">
                  <c:v>11.700744976263612</c:v>
                </c:pt>
                <c:pt idx="9">
                  <c:v>8.2434784203305238</c:v>
                </c:pt>
                <c:pt idx="10">
                  <c:v>16.5559377978295</c:v>
                </c:pt>
                <c:pt idx="11">
                  <c:v>22.767501858243662</c:v>
                </c:pt>
                <c:pt idx="12">
                  <c:v>33.831303188867714</c:v>
                </c:pt>
                <c:pt idx="13">
                  <c:v>43.721610939511656</c:v>
                </c:pt>
                <c:pt idx="14">
                  <c:v>51.745072566014208</c:v>
                </c:pt>
                <c:pt idx="15">
                  <c:v>50.178516513159011</c:v>
                </c:pt>
                <c:pt idx="16">
                  <c:v>65.877893976093176</c:v>
                </c:pt>
                <c:pt idx="17">
                  <c:v>62.756037627985975</c:v>
                </c:pt>
                <c:pt idx="18">
                  <c:v>83.557576578164699</c:v>
                </c:pt>
                <c:pt idx="19">
                  <c:v>91.477600330584607</c:v>
                </c:pt>
                <c:pt idx="20">
                  <c:v>88.675155726034859</c:v>
                </c:pt>
                <c:pt idx="21">
                  <c:v>57.717200714673091</c:v>
                </c:pt>
                <c:pt idx="22">
                  <c:v>24.686183541055318</c:v>
                </c:pt>
                <c:pt idx="23">
                  <c:v>3.7651830532449209</c:v>
                </c:pt>
                <c:pt idx="24">
                  <c:v>-3.6197180011467989</c:v>
                </c:pt>
                <c:pt idx="25">
                  <c:v>-4.9932932345748391</c:v>
                </c:pt>
                <c:pt idx="26">
                  <c:v>-5.5357804713309147</c:v>
                </c:pt>
                <c:pt idx="27">
                  <c:v>-5.7894246977867478</c:v>
                </c:pt>
                <c:pt idx="28">
                  <c:v>-5.935063862761357</c:v>
                </c:pt>
                <c:pt idx="29">
                  <c:v>-5.8725516584179713</c:v>
                </c:pt>
                <c:pt idx="30">
                  <c:v>-5.4840767088073656</c:v>
                </c:pt>
                <c:pt idx="31">
                  <c:v>-3.6064931539927474</c:v>
                </c:pt>
                <c:pt idx="32">
                  <c:v>3.372334469102793</c:v>
                </c:pt>
                <c:pt idx="33">
                  <c:v>14.275348873835503</c:v>
                </c:pt>
                <c:pt idx="34">
                  <c:v>26.797788100168241</c:v>
                </c:pt>
                <c:pt idx="35">
                  <c:v>37.761344749393672</c:v>
                </c:pt>
                <c:pt idx="36">
                  <c:v>50.562834631968101</c:v>
                </c:pt>
                <c:pt idx="37">
                  <c:v>54.816545459144884</c:v>
                </c:pt>
                <c:pt idx="38">
                  <c:v>60.605795973690448</c:v>
                </c:pt>
                <c:pt idx="39">
                  <c:v>65.490881208865531</c:v>
                </c:pt>
                <c:pt idx="40">
                  <c:v>77.74579980730924</c:v>
                </c:pt>
                <c:pt idx="41">
                  <c:v>75.723022804322369</c:v>
                </c:pt>
                <c:pt idx="42">
                  <c:v>78.696589155990068</c:v>
                </c:pt>
                <c:pt idx="43">
                  <c:v>40.483551633371185</c:v>
                </c:pt>
                <c:pt idx="44">
                  <c:v>4.9901679025964745</c:v>
                </c:pt>
                <c:pt idx="45">
                  <c:v>0.44177336095074099</c:v>
                </c:pt>
                <c:pt idx="46">
                  <c:v>-4.3771728979406195</c:v>
                </c:pt>
                <c:pt idx="47">
                  <c:v>-6.9356252224266726</c:v>
                </c:pt>
                <c:pt idx="48">
                  <c:v>-7.6782866144635182</c:v>
                </c:pt>
                <c:pt idx="49">
                  <c:v>-7.7444028515398822</c:v>
                </c:pt>
                <c:pt idx="50">
                  <c:v>-7.7536262186814282</c:v>
                </c:pt>
                <c:pt idx="51">
                  <c:v>-7.6232498386418239</c:v>
                </c:pt>
                <c:pt idx="52">
                  <c:v>-6.875540266236559</c:v>
                </c:pt>
                <c:pt idx="53">
                  <c:v>-6.3131589848667566</c:v>
                </c:pt>
                <c:pt idx="54">
                  <c:v>-4.1902180128449649</c:v>
                </c:pt>
                <c:pt idx="55">
                  <c:v>5.3361281241325376</c:v>
                </c:pt>
                <c:pt idx="56">
                  <c:v>47.885553725733828</c:v>
                </c:pt>
                <c:pt idx="57">
                  <c:v>59.30919981951871</c:v>
                </c:pt>
                <c:pt idx="58">
                  <c:v>62.270767294131957</c:v>
                </c:pt>
                <c:pt idx="59">
                  <c:v>66.66371051509779</c:v>
                </c:pt>
                <c:pt idx="60">
                  <c:v>61.791798356475994</c:v>
                </c:pt>
                <c:pt idx="61">
                  <c:v>62.335103225749144</c:v>
                </c:pt>
                <c:pt idx="62">
                  <c:v>69.428188383526404</c:v>
                </c:pt>
                <c:pt idx="63">
                  <c:v>79.423082999835685</c:v>
                </c:pt>
                <c:pt idx="64">
                  <c:v>69.816836623703594</c:v>
                </c:pt>
                <c:pt idx="65">
                  <c:v>85.908999169431695</c:v>
                </c:pt>
                <c:pt idx="66">
                  <c:v>87.157614851730642</c:v>
                </c:pt>
                <c:pt idx="67">
                  <c:v>76.722818247214079</c:v>
                </c:pt>
                <c:pt idx="68">
                  <c:v>58.144239085771268</c:v>
                </c:pt>
                <c:pt idx="69">
                  <c:v>27.875395086047778</c:v>
                </c:pt>
                <c:pt idx="70">
                  <c:v>12.220773506877759</c:v>
                </c:pt>
                <c:pt idx="71">
                  <c:v>8.1176698601665667</c:v>
                </c:pt>
                <c:pt idx="72">
                  <c:v>8.3476192455050651</c:v>
                </c:pt>
                <c:pt idx="73">
                  <c:v>8.183804787446384</c:v>
                </c:pt>
                <c:pt idx="74">
                  <c:v>8.2250788019835781</c:v>
                </c:pt>
                <c:pt idx="75">
                  <c:v>7.9196774611999325</c:v>
                </c:pt>
                <c:pt idx="76">
                  <c:v>9.1588332287500691</c:v>
                </c:pt>
                <c:pt idx="77">
                  <c:v>14.154288327636323</c:v>
                </c:pt>
                <c:pt idx="78">
                  <c:v>33.020815102252818</c:v>
                </c:pt>
                <c:pt idx="79">
                  <c:v>61.601947750124829</c:v>
                </c:pt>
                <c:pt idx="80">
                  <c:v>61.162764958095607</c:v>
                </c:pt>
                <c:pt idx="81">
                  <c:v>62.658473488401143</c:v>
                </c:pt>
                <c:pt idx="82">
                  <c:v>63.446241410515967</c:v>
                </c:pt>
                <c:pt idx="83">
                  <c:v>66.411952268108664</c:v>
                </c:pt>
                <c:pt idx="84">
                  <c:v>71.735535866428052</c:v>
                </c:pt>
                <c:pt idx="85">
                  <c:v>85.74117791679879</c:v>
                </c:pt>
                <c:pt idx="86">
                  <c:v>84.419142314182722</c:v>
                </c:pt>
                <c:pt idx="87">
                  <c:v>84.040293172308353</c:v>
                </c:pt>
                <c:pt idx="88">
                  <c:v>79.716968018503593</c:v>
                </c:pt>
                <c:pt idx="89">
                  <c:v>79.61879548252459</c:v>
                </c:pt>
                <c:pt idx="90">
                  <c:v>67.872824810116754</c:v>
                </c:pt>
                <c:pt idx="91">
                  <c:v>17.597314508648665</c:v>
                </c:pt>
                <c:pt idx="92">
                  <c:v>5.1785842855613398</c:v>
                </c:pt>
                <c:pt idx="93">
                  <c:v>3.4988032689263275</c:v>
                </c:pt>
                <c:pt idx="94">
                  <c:v>1.768709943390999</c:v>
                </c:pt>
                <c:pt idx="95">
                  <c:v>1.1643371997245509</c:v>
                </c:pt>
                <c:pt idx="96">
                  <c:v>1.1143338535883631</c:v>
                </c:pt>
                <c:pt idx="97">
                  <c:v>1.0340311892726008</c:v>
                </c:pt>
                <c:pt idx="98">
                  <c:v>1.4263386513165013</c:v>
                </c:pt>
                <c:pt idx="99">
                  <c:v>6.8604949679167371</c:v>
                </c:pt>
                <c:pt idx="100">
                  <c:v>23.131952888397173</c:v>
                </c:pt>
                <c:pt idx="101">
                  <c:v>33.565876178268624</c:v>
                </c:pt>
                <c:pt idx="102">
                  <c:v>59.220477571428944</c:v>
                </c:pt>
                <c:pt idx="103">
                  <c:v>82.60663052876825</c:v>
                </c:pt>
                <c:pt idx="104">
                  <c:v>90.793280742552369</c:v>
                </c:pt>
                <c:pt idx="105">
                  <c:v>105.90004235514485</c:v>
                </c:pt>
                <c:pt idx="106">
                  <c:v>88.67515572603493</c:v>
                </c:pt>
                <c:pt idx="107">
                  <c:v>83.932599612927078</c:v>
                </c:pt>
                <c:pt idx="108">
                  <c:v>78.889183256467049</c:v>
                </c:pt>
                <c:pt idx="109">
                  <c:v>69.699850763527238</c:v>
                </c:pt>
                <c:pt idx="110">
                  <c:v>55.051128298584814</c:v>
                </c:pt>
                <c:pt idx="111">
                  <c:v>53.793654651750877</c:v>
                </c:pt>
                <c:pt idx="112">
                  <c:v>56.249384547260981</c:v>
                </c:pt>
                <c:pt idx="113">
                  <c:v>48.199619087663706</c:v>
                </c:pt>
                <c:pt idx="114">
                  <c:v>45.144039371315337</c:v>
                </c:pt>
                <c:pt idx="115">
                  <c:v>36.395799250129791</c:v>
                </c:pt>
                <c:pt idx="116">
                  <c:v>32.857534365322842</c:v>
                </c:pt>
                <c:pt idx="117">
                  <c:v>33.208899808881078</c:v>
                </c:pt>
                <c:pt idx="118">
                  <c:v>40.483551633371185</c:v>
                </c:pt>
                <c:pt idx="119">
                  <c:v>41.675273623223674</c:v>
                </c:pt>
                <c:pt idx="120">
                  <c:v>39.527942585947137</c:v>
                </c:pt>
                <c:pt idx="121">
                  <c:v>42.748558214792823</c:v>
                </c:pt>
                <c:pt idx="122">
                  <c:v>45.21993667650672</c:v>
                </c:pt>
                <c:pt idx="123">
                  <c:v>60.852280008925497</c:v>
                </c:pt>
                <c:pt idx="124">
                  <c:v>70.091118944830171</c:v>
                </c:pt>
                <c:pt idx="125">
                  <c:v>73.532919307183178</c:v>
                </c:pt>
                <c:pt idx="126">
                  <c:v>75.723022804322369</c:v>
                </c:pt>
                <c:pt idx="127">
                  <c:v>71.981758533112696</c:v>
                </c:pt>
                <c:pt idx="128">
                  <c:v>76.083952046754476</c:v>
                </c:pt>
                <c:pt idx="129">
                  <c:v>79.228209450121099</c:v>
                </c:pt>
                <c:pt idx="130">
                  <c:v>79.423082999835685</c:v>
                </c:pt>
                <c:pt idx="131">
                  <c:v>75.409641169473446</c:v>
                </c:pt>
                <c:pt idx="132">
                  <c:v>85.351834787631489</c:v>
                </c:pt>
                <c:pt idx="133">
                  <c:v>88.853266095298139</c:v>
                </c:pt>
                <c:pt idx="134">
                  <c:v>88.203271096262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59-42CE-B52D-C1E1B26829D2}"/>
            </c:ext>
          </c:extLst>
        </c:ser>
        <c:ser>
          <c:idx val="1"/>
          <c:order val="1"/>
          <c:tx>
            <c:strRef>
              <c:f>'Diferentes médias móveis'!$M$1</c:f>
              <c:strCache>
                <c:ptCount val="1"/>
                <c:pt idx="0">
                  <c:v>UTS_8h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móveis'!$M$2:$M$136</c:f>
              <c:numCache>
                <c:formatCode>General</c:formatCode>
                <c:ptCount val="135"/>
                <c:pt idx="7">
                  <c:v>15.076285698191299</c:v>
                </c:pt>
                <c:pt idx="8">
                  <c:v>-27.352533225780828</c:v>
                </c:pt>
                <c:pt idx="9">
                  <c:v>-30.049654155620491</c:v>
                </c:pt>
                <c:pt idx="10">
                  <c:v>14.181087449357479</c:v>
                </c:pt>
                <c:pt idx="11">
                  <c:v>18.573512508414669</c:v>
                </c:pt>
                <c:pt idx="12">
                  <c:v>25.688251160102531</c:v>
                </c:pt>
                <c:pt idx="13">
                  <c:v>31.514977518890642</c:v>
                </c:pt>
                <c:pt idx="14">
                  <c:v>36.014468430862415</c:v>
                </c:pt>
                <c:pt idx="15">
                  <c:v>35.294610453189378</c:v>
                </c:pt>
                <c:pt idx="16">
                  <c:v>43.4674410231978</c:v>
                </c:pt>
                <c:pt idx="17">
                  <c:v>42.276086706195798</c:v>
                </c:pt>
                <c:pt idx="18">
                  <c:v>50.576919939152084</c:v>
                </c:pt>
                <c:pt idx="19">
                  <c:v>51.623184239653916</c:v>
                </c:pt>
                <c:pt idx="20">
                  <c:v>47.657512393023218</c:v>
                </c:pt>
                <c:pt idx="21">
                  <c:v>34.2202419845026</c:v>
                </c:pt>
                <c:pt idx="22">
                  <c:v>16.54971531324659</c:v>
                </c:pt>
                <c:pt idx="23">
                  <c:v>-39.053181282378965</c:v>
                </c:pt>
                <c:pt idx="24">
                  <c:v>-55.55029519513721</c:v>
                </c:pt>
                <c:pt idx="25">
                  <c:v>-61.189003149983655</c:v>
                </c:pt>
                <c:pt idx="26">
                  <c:v>-69.158773479814656</c:v>
                </c:pt>
                <c:pt idx="27">
                  <c:v>-73.983911543938746</c:v>
                </c:pt>
                <c:pt idx="28">
                  <c:v>-70.277718288648131</c:v>
                </c:pt>
                <c:pt idx="29">
                  <c:v>-65.596466195296159</c:v>
                </c:pt>
                <c:pt idx="30">
                  <c:v>-59.723619124702886</c:v>
                </c:pt>
                <c:pt idx="31">
                  <c:v>-51.320860409317405</c:v>
                </c:pt>
                <c:pt idx="32">
                  <c:v>-35.847266318917647</c:v>
                </c:pt>
                <c:pt idx="33">
                  <c:v>12.520172949023131</c:v>
                </c:pt>
                <c:pt idx="34">
                  <c:v>21.40431529996167</c:v>
                </c:pt>
                <c:pt idx="35">
                  <c:v>28.528996835064309</c:v>
                </c:pt>
                <c:pt idx="36">
                  <c:v>36.091726238784446</c:v>
                </c:pt>
                <c:pt idx="37">
                  <c:v>38.531359489609429</c:v>
                </c:pt>
                <c:pt idx="38">
                  <c:v>41.676160832190675</c:v>
                </c:pt>
                <c:pt idx="39">
                  <c:v>44.334325184742305</c:v>
                </c:pt>
                <c:pt idx="40">
                  <c:v>50.371911877559981</c:v>
                </c:pt>
                <c:pt idx="41">
                  <c:v>49.047409428625087</c:v>
                </c:pt>
                <c:pt idx="42">
                  <c:v>47.60220423380057</c:v>
                </c:pt>
                <c:pt idx="43">
                  <c:v>26.891512314849642</c:v>
                </c:pt>
                <c:pt idx="44">
                  <c:v>-36.083834028130383</c:v>
                </c:pt>
                <c:pt idx="45">
                  <c:v>-44.516977079200331</c:v>
                </c:pt>
                <c:pt idx="46">
                  <c:v>-58.38840811693531</c:v>
                </c:pt>
                <c:pt idx="47">
                  <c:v>-140.89686791991539</c:v>
                </c:pt>
                <c:pt idx="48">
                  <c:v>-217.59785135468249</c:v>
                </c:pt>
                <c:pt idx="49">
                  <c:v>-225.81280727256998</c:v>
                </c:pt>
                <c:pt idx="50">
                  <c:v>-219.9056370842944</c:v>
                </c:pt>
                <c:pt idx="51">
                  <c:v>-196.5475039307893</c:v>
                </c:pt>
                <c:pt idx="52">
                  <c:v>-114.38131639676601</c:v>
                </c:pt>
                <c:pt idx="53">
                  <c:v>-75.863104913888463</c:v>
                </c:pt>
                <c:pt idx="54">
                  <c:v>-53.364480850553399</c:v>
                </c:pt>
                <c:pt idx="55">
                  <c:v>-33.426158378118728</c:v>
                </c:pt>
                <c:pt idx="56">
                  <c:v>33.662074601977537</c:v>
                </c:pt>
                <c:pt idx="57">
                  <c:v>40.103044110791551</c:v>
                </c:pt>
                <c:pt idx="58">
                  <c:v>41.882979266848608</c:v>
                </c:pt>
                <c:pt idx="59">
                  <c:v>44.26521594765174</c:v>
                </c:pt>
                <c:pt idx="60">
                  <c:v>41.741055056677837</c:v>
                </c:pt>
                <c:pt idx="61">
                  <c:v>42.037345300109649</c:v>
                </c:pt>
                <c:pt idx="62">
                  <c:v>45.50212198248164</c:v>
                </c:pt>
                <c:pt idx="63">
                  <c:v>50.242387230770426</c:v>
                </c:pt>
                <c:pt idx="64">
                  <c:v>46.003540676217554</c:v>
                </c:pt>
                <c:pt idx="65">
                  <c:v>53.541616723729902</c:v>
                </c:pt>
                <c:pt idx="66">
                  <c:v>51.314893283545658</c:v>
                </c:pt>
                <c:pt idx="67">
                  <c:v>43.947547542929279</c:v>
                </c:pt>
                <c:pt idx="68">
                  <c:v>33.859151430695078</c:v>
                </c:pt>
                <c:pt idx="69">
                  <c:v>18.087705059807661</c:v>
                </c:pt>
                <c:pt idx="70">
                  <c:v>-30.633910582964969</c:v>
                </c:pt>
                <c:pt idx="71">
                  <c:v>-34.528725585667566</c:v>
                </c:pt>
                <c:pt idx="72">
                  <c:v>-34.428145771310419</c:v>
                </c:pt>
                <c:pt idx="73">
                  <c:v>-32.376741158702636</c:v>
                </c:pt>
                <c:pt idx="74">
                  <c:v>-33.788267744226502</c:v>
                </c:pt>
                <c:pt idx="75">
                  <c:v>-33.213515062187547</c:v>
                </c:pt>
                <c:pt idx="76">
                  <c:v>-30.573777452097723</c:v>
                </c:pt>
                <c:pt idx="77">
                  <c:v>-26.176378051300802</c:v>
                </c:pt>
                <c:pt idx="78">
                  <c:v>25.204352620537989</c:v>
                </c:pt>
                <c:pt idx="79">
                  <c:v>40.446003600127064</c:v>
                </c:pt>
                <c:pt idx="80">
                  <c:v>40.682996115483512</c:v>
                </c:pt>
                <c:pt idx="81">
                  <c:v>41.049070913039529</c:v>
                </c:pt>
                <c:pt idx="82">
                  <c:v>41.78671084950421</c:v>
                </c:pt>
                <c:pt idx="83">
                  <c:v>43.670307536204959</c:v>
                </c:pt>
                <c:pt idx="84">
                  <c:v>45.861556789644922</c:v>
                </c:pt>
                <c:pt idx="85">
                  <c:v>50.776639462055904</c:v>
                </c:pt>
                <c:pt idx="86">
                  <c:v>50.37797664794509</c:v>
                </c:pt>
                <c:pt idx="87">
                  <c:v>49.610246652324079</c:v>
                </c:pt>
                <c:pt idx="88">
                  <c:v>49.148689860413953</c:v>
                </c:pt>
                <c:pt idx="89">
                  <c:v>49.474317439569397</c:v>
                </c:pt>
                <c:pt idx="90">
                  <c:v>42.823162508391746</c:v>
                </c:pt>
                <c:pt idx="91">
                  <c:v>14.71518657671704</c:v>
                </c:pt>
                <c:pt idx="92">
                  <c:v>-33.712430280660371</c:v>
                </c:pt>
                <c:pt idx="93">
                  <c:v>-36.096346410321765</c:v>
                </c:pt>
                <c:pt idx="94">
                  <c:v>-38.849517844910089</c:v>
                </c:pt>
                <c:pt idx="95">
                  <c:v>-39.867770109578821</c:v>
                </c:pt>
                <c:pt idx="96">
                  <c:v>-40.273624939742078</c:v>
                </c:pt>
                <c:pt idx="97">
                  <c:v>-40.463419205236875</c:v>
                </c:pt>
                <c:pt idx="98">
                  <c:v>-39.983595021278937</c:v>
                </c:pt>
                <c:pt idx="99">
                  <c:v>-32.288625410724173</c:v>
                </c:pt>
                <c:pt idx="100">
                  <c:v>17.909465011344899</c:v>
                </c:pt>
                <c:pt idx="101">
                  <c:v>24.891723503820089</c:v>
                </c:pt>
                <c:pt idx="102">
                  <c:v>39.302564287017937</c:v>
                </c:pt>
                <c:pt idx="103">
                  <c:v>50.791053885947676</c:v>
                </c:pt>
                <c:pt idx="104">
                  <c:v>54.327062405632617</c:v>
                </c:pt>
                <c:pt idx="105">
                  <c:v>61.129601397441355</c:v>
                </c:pt>
                <c:pt idx="106">
                  <c:v>54.298156382776</c:v>
                </c:pt>
                <c:pt idx="107">
                  <c:v>52.357684799854987</c:v>
                </c:pt>
                <c:pt idx="108">
                  <c:v>50.292560022703327</c:v>
                </c:pt>
                <c:pt idx="109">
                  <c:v>45.719465150479799</c:v>
                </c:pt>
                <c:pt idx="110">
                  <c:v>38.459532855233455</c:v>
                </c:pt>
                <c:pt idx="111">
                  <c:v>36.744644937450587</c:v>
                </c:pt>
                <c:pt idx="112">
                  <c:v>38.076357529862563</c:v>
                </c:pt>
                <c:pt idx="113">
                  <c:v>34.217066495498798</c:v>
                </c:pt>
                <c:pt idx="114">
                  <c:v>33.409616494530923</c:v>
                </c:pt>
                <c:pt idx="115">
                  <c:v>28.178442180315109</c:v>
                </c:pt>
                <c:pt idx="116">
                  <c:v>25.62595209060559</c:v>
                </c:pt>
                <c:pt idx="117">
                  <c:v>25.792139039964468</c:v>
                </c:pt>
                <c:pt idx="118">
                  <c:v>30.423999658790919</c:v>
                </c:pt>
                <c:pt idx="119">
                  <c:v>31.24704622332392</c:v>
                </c:pt>
                <c:pt idx="120">
                  <c:v>29.556230302768789</c:v>
                </c:pt>
                <c:pt idx="121">
                  <c:v>31.461088541623983</c:v>
                </c:pt>
                <c:pt idx="122">
                  <c:v>32.971749021478431</c:v>
                </c:pt>
                <c:pt idx="123">
                  <c:v>43.432776292947139</c:v>
                </c:pt>
                <c:pt idx="124">
                  <c:v>48.002464053152949</c:v>
                </c:pt>
                <c:pt idx="125">
                  <c:v>47.238351665643691</c:v>
                </c:pt>
                <c:pt idx="126">
                  <c:v>48.78598970884785</c:v>
                </c:pt>
                <c:pt idx="127">
                  <c:v>47.207741434067039</c:v>
                </c:pt>
                <c:pt idx="128">
                  <c:v>49.003371985497203</c:v>
                </c:pt>
                <c:pt idx="129">
                  <c:v>51.508536407814056</c:v>
                </c:pt>
                <c:pt idx="130">
                  <c:v>53.382393478014514</c:v>
                </c:pt>
                <c:pt idx="131">
                  <c:v>52.117202936231607</c:v>
                </c:pt>
                <c:pt idx="132">
                  <c:v>58.07782054009796</c:v>
                </c:pt>
                <c:pt idx="133">
                  <c:v>59.66978392720452</c:v>
                </c:pt>
                <c:pt idx="134">
                  <c:v>59.083913449262482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59-42CE-B52D-C1E1B2682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950760"/>
        <c:axId val="580950040"/>
      </c:scatterChart>
      <c:valAx>
        <c:axId val="580950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0950040"/>
        <c:crosses val="autoZero"/>
        <c:crossBetween val="midCat"/>
        <c:majorUnit val="0.5"/>
      </c:valAx>
      <c:valAx>
        <c:axId val="58095004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0950760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Médias móveis</a:t>
            </a:r>
            <a:r>
              <a:rPr lang="pt-PT" baseline="0"/>
              <a:t> 10h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'Diferentes médias móveis'!$P$1</c:f>
              <c:strCache>
                <c:ptCount val="1"/>
                <c:pt idx="0">
                  <c:v>N0_10h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móveis'!$P$2:$P$136</c:f>
              <c:numCache>
                <c:formatCode>General</c:formatCode>
                <c:ptCount val="135"/>
                <c:pt idx="9">
                  <c:v>20.436853741702464</c:v>
                </c:pt>
                <c:pt idx="10">
                  <c:v>14.373813768427674</c:v>
                </c:pt>
                <c:pt idx="11">
                  <c:v>11.056648925055219</c:v>
                </c:pt>
                <c:pt idx="12">
                  <c:v>21.777520203023876</c:v>
                </c:pt>
                <c:pt idx="13">
                  <c:v>29.820191616034375</c:v>
                </c:pt>
                <c:pt idx="14">
                  <c:v>41.595238069372932</c:v>
                </c:pt>
                <c:pt idx="15">
                  <c:v>42.877476756103903</c:v>
                </c:pt>
                <c:pt idx="16">
                  <c:v>50.617477447867351</c:v>
                </c:pt>
                <c:pt idx="17">
                  <c:v>54.408697659500291</c:v>
                </c:pt>
                <c:pt idx="18">
                  <c:v>67.969680036523044</c:v>
                </c:pt>
                <c:pt idx="19">
                  <c:v>74.842386101920837</c:v>
                </c:pt>
                <c:pt idx="20">
                  <c:v>93.521441448084758</c:v>
                </c:pt>
                <c:pt idx="21">
                  <c:v>69.058565214871109</c:v>
                </c:pt>
                <c:pt idx="22">
                  <c:v>31.429294084809545</c:v>
                </c:pt>
                <c:pt idx="23">
                  <c:v>6.2589218544891176</c:v>
                </c:pt>
                <c:pt idx="24">
                  <c:v>-1.9733353477525806</c:v>
                </c:pt>
                <c:pt idx="25">
                  <c:v>-3.5097216576420549</c:v>
                </c:pt>
                <c:pt idx="26">
                  <c:v>-4.1674266787896386</c:v>
                </c:pt>
                <c:pt idx="27">
                  <c:v>-4.4027289620842822</c:v>
                </c:pt>
                <c:pt idx="28">
                  <c:v>-4.5969345584529284</c:v>
                </c:pt>
                <c:pt idx="29">
                  <c:v>-4.6882426737253429</c:v>
                </c:pt>
                <c:pt idx="30">
                  <c:v>-4.7563898196266097</c:v>
                </c:pt>
                <c:pt idx="31">
                  <c:v>-4.6554211631944868</c:v>
                </c:pt>
                <c:pt idx="32">
                  <c:v>-4.1821306775112834</c:v>
                </c:pt>
                <c:pt idx="33">
                  <c:v>-1.8644783811800958</c:v>
                </c:pt>
                <c:pt idx="34">
                  <c:v>6.4380255697614537</c:v>
                </c:pt>
                <c:pt idx="35">
                  <c:v>17.749106502838458</c:v>
                </c:pt>
                <c:pt idx="36">
                  <c:v>30.836795632001035</c:v>
                </c:pt>
                <c:pt idx="37">
                  <c:v>41.755550831904664</c:v>
                </c:pt>
                <c:pt idx="38">
                  <c:v>52.495628500891144</c:v>
                </c:pt>
                <c:pt idx="39">
                  <c:v>58.276255246630484</c:v>
                </c:pt>
                <c:pt idx="40">
                  <c:v>67.642812321684517</c:v>
                </c:pt>
                <c:pt idx="41">
                  <c:v>74.666634383848816</c:v>
                </c:pt>
                <c:pt idx="42">
                  <c:v>80.871424779094298</c:v>
                </c:pt>
                <c:pt idx="43">
                  <c:v>42.434073729989919</c:v>
                </c:pt>
                <c:pt idx="44">
                  <c:v>8.0141226644487826</c:v>
                </c:pt>
                <c:pt idx="45">
                  <c:v>2.882447205415918</c:v>
                </c:pt>
                <c:pt idx="46">
                  <c:v>-2.8081918311664249</c:v>
                </c:pt>
                <c:pt idx="47">
                  <c:v>-5.8674225052661528</c:v>
                </c:pt>
                <c:pt idx="48">
                  <c:v>-6.7577590651759838</c:v>
                </c:pt>
                <c:pt idx="49">
                  <c:v>-6.8321190656738278</c:v>
                </c:pt>
                <c:pt idx="50">
                  <c:v>-6.8575105898387694</c:v>
                </c:pt>
                <c:pt idx="51">
                  <c:v>-6.864526120857156</c:v>
                </c:pt>
                <c:pt idx="52">
                  <c:v>-6.8567976826931529</c:v>
                </c:pt>
                <c:pt idx="53">
                  <c:v>-6.7009868452569785</c:v>
                </c:pt>
                <c:pt idx="54">
                  <c:v>-5.817519642879053</c:v>
                </c:pt>
                <c:pt idx="55">
                  <c:v>-5.1734387969050788</c:v>
                </c:pt>
                <c:pt idx="56">
                  <c:v>-2.5735889247704731</c:v>
                </c:pt>
                <c:pt idx="57">
                  <c:v>8.3975304191235569</c:v>
                </c:pt>
                <c:pt idx="58">
                  <c:v>47.616024542735325</c:v>
                </c:pt>
                <c:pt idx="59">
                  <c:v>65.736712704441302</c:v>
                </c:pt>
                <c:pt idx="60">
                  <c:v>66.967976440182824</c:v>
                </c:pt>
                <c:pt idx="61">
                  <c:v>66.304551655780969</c:v>
                </c:pt>
                <c:pt idx="62">
                  <c:v>66.190316892211555</c:v>
                </c:pt>
                <c:pt idx="63">
                  <c:v>67.70204266573711</c:v>
                </c:pt>
                <c:pt idx="64">
                  <c:v>68.997289360816538</c:v>
                </c:pt>
                <c:pt idx="65">
                  <c:v>79.795658490829922</c:v>
                </c:pt>
                <c:pt idx="66">
                  <c:v>75.054236862165283</c:v>
                </c:pt>
                <c:pt idx="67">
                  <c:v>81.808017632681</c:v>
                </c:pt>
                <c:pt idx="68">
                  <c:v>63.201567477179225</c:v>
                </c:pt>
                <c:pt idx="69">
                  <c:v>32.101394427255741</c:v>
                </c:pt>
                <c:pt idx="70">
                  <c:v>16.525290283503839</c:v>
                </c:pt>
                <c:pt idx="71">
                  <c:v>11.990420392972505</c:v>
                </c:pt>
                <c:pt idx="72">
                  <c:v>11.840179081787529</c:v>
                </c:pt>
                <c:pt idx="73">
                  <c:v>11.865945493483721</c:v>
                </c:pt>
                <c:pt idx="74">
                  <c:v>12.155820487322471</c:v>
                </c:pt>
                <c:pt idx="75">
                  <c:v>11.383437634599249</c:v>
                </c:pt>
                <c:pt idx="76">
                  <c:v>11.226186349865701</c:v>
                </c:pt>
                <c:pt idx="77">
                  <c:v>10.697081415907487</c:v>
                </c:pt>
                <c:pt idx="78">
                  <c:v>12.216786542557463</c:v>
                </c:pt>
                <c:pt idx="79">
                  <c:v>18.62328605350843</c:v>
                </c:pt>
                <c:pt idx="80">
                  <c:v>38.180491940551754</c:v>
                </c:pt>
                <c:pt idx="81">
                  <c:v>66.591613717909809</c:v>
                </c:pt>
                <c:pt idx="82">
                  <c:v>67.613230358293748</c:v>
                </c:pt>
                <c:pt idx="83">
                  <c:v>63.54589075374232</c:v>
                </c:pt>
                <c:pt idx="84">
                  <c:v>65.09385927014182</c:v>
                </c:pt>
                <c:pt idx="85">
                  <c:v>71.263600465367034</c:v>
                </c:pt>
                <c:pt idx="86">
                  <c:v>73.387979188400749</c:v>
                </c:pt>
                <c:pt idx="87">
                  <c:v>84.779105161951591</c:v>
                </c:pt>
                <c:pt idx="88">
                  <c:v>79.992979942161867</c:v>
                </c:pt>
                <c:pt idx="89">
                  <c:v>82.470841994164687</c:v>
                </c:pt>
                <c:pt idx="90">
                  <c:v>73.901751422506209</c:v>
                </c:pt>
                <c:pt idx="91">
                  <c:v>21.798461400508646</c:v>
                </c:pt>
                <c:pt idx="92">
                  <c:v>8.3620537098747594</c:v>
                </c:pt>
                <c:pt idx="93">
                  <c:v>6.6316449332859424</c:v>
                </c:pt>
                <c:pt idx="94">
                  <c:v>4.5099458833296264</c:v>
                </c:pt>
                <c:pt idx="95">
                  <c:v>3.8071343999611691</c:v>
                </c:pt>
                <c:pt idx="96">
                  <c:v>3.6493669984340547</c:v>
                </c:pt>
                <c:pt idx="97">
                  <c:v>3.6298744458570691</c:v>
                </c:pt>
                <c:pt idx="98">
                  <c:v>3.9253846757716717</c:v>
                </c:pt>
                <c:pt idx="99">
                  <c:v>3.9265089443087473</c:v>
                </c:pt>
                <c:pt idx="100">
                  <c:v>4.2807612784294085</c:v>
                </c:pt>
                <c:pt idx="101">
                  <c:v>10.52156247264297</c:v>
                </c:pt>
                <c:pt idx="102">
                  <c:v>27.248257609809396</c:v>
                </c:pt>
                <c:pt idx="103">
                  <c:v>37.298530186531757</c:v>
                </c:pt>
                <c:pt idx="104">
                  <c:v>62.367313290731083</c:v>
                </c:pt>
                <c:pt idx="105">
                  <c:v>91.177865475840008</c:v>
                </c:pt>
                <c:pt idx="106">
                  <c:v>94.947520788867763</c:v>
                </c:pt>
                <c:pt idx="107">
                  <c:v>95.108368357572772</c:v>
                </c:pt>
                <c:pt idx="108">
                  <c:v>85.307536858785184</c:v>
                </c:pt>
                <c:pt idx="109">
                  <c:v>74.039809380426789</c:v>
                </c:pt>
                <c:pt idx="110">
                  <c:v>56.396081210083452</c:v>
                </c:pt>
                <c:pt idx="111">
                  <c:v>55.197930382101511</c:v>
                </c:pt>
                <c:pt idx="112">
                  <c:v>59.756171328168548</c:v>
                </c:pt>
                <c:pt idx="113">
                  <c:v>56.812436882732364</c:v>
                </c:pt>
                <c:pt idx="114">
                  <c:v>52.206698217680739</c:v>
                </c:pt>
                <c:pt idx="115">
                  <c:v>40.397515143480234</c:v>
                </c:pt>
                <c:pt idx="116">
                  <c:v>37.570049594705416</c:v>
                </c:pt>
                <c:pt idx="117">
                  <c:v>35.667335702713935</c:v>
                </c:pt>
                <c:pt idx="118">
                  <c:v>35.520637668577358</c:v>
                </c:pt>
                <c:pt idx="119">
                  <c:v>38.040952209400189</c:v>
                </c:pt>
                <c:pt idx="120">
                  <c:v>45.026799128055742</c:v>
                </c:pt>
                <c:pt idx="121">
                  <c:v>46.866146781856401</c:v>
                </c:pt>
                <c:pt idx="122">
                  <c:v>44.076862159293398</c:v>
                </c:pt>
                <c:pt idx="123">
                  <c:v>47.58302071541798</c:v>
                </c:pt>
                <c:pt idx="124">
                  <c:v>50.763663138644446</c:v>
                </c:pt>
                <c:pt idx="125">
                  <c:v>60.409814630397065</c:v>
                </c:pt>
                <c:pt idx="126">
                  <c:v>69.119934428358192</c:v>
                </c:pt>
                <c:pt idx="127">
                  <c:v>72.712488926516045</c:v>
                </c:pt>
                <c:pt idx="128">
                  <c:v>75.948254077851487</c:v>
                </c:pt>
                <c:pt idx="129">
                  <c:v>80.19115620064882</c:v>
                </c:pt>
                <c:pt idx="130">
                  <c:v>78.476118085909675</c:v>
                </c:pt>
                <c:pt idx="131">
                  <c:v>76.347499209900064</c:v>
                </c:pt>
                <c:pt idx="132">
                  <c:v>86.381995305017469</c:v>
                </c:pt>
                <c:pt idx="133">
                  <c:v>80.911755061143751</c:v>
                </c:pt>
                <c:pt idx="134">
                  <c:v>82.638022092853149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CC-4220-AD4B-FD2F3EDA6138}"/>
            </c:ext>
          </c:extLst>
        </c:ser>
        <c:ser>
          <c:idx val="1"/>
          <c:order val="1"/>
          <c:tx>
            <c:strRef>
              <c:f>'Diferentes médias móveis'!$Q$1</c:f>
              <c:strCache>
                <c:ptCount val="1"/>
                <c:pt idx="0">
                  <c:v>UTS_10h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móveis'!$Q$2:$Q$136</c:f>
              <c:numCache>
                <c:formatCode>General</c:formatCode>
                <c:ptCount val="135"/>
                <c:pt idx="9">
                  <c:v>16.846100422861181</c:v>
                </c:pt>
                <c:pt idx="10">
                  <c:v>12.62660483395476</c:v>
                </c:pt>
                <c:pt idx="11">
                  <c:v>-27.667609610903181</c:v>
                </c:pt>
                <c:pt idx="12">
                  <c:v>17.782728338201409</c:v>
                </c:pt>
                <c:pt idx="13">
                  <c:v>23.11825408526385</c:v>
                </c:pt>
                <c:pt idx="14">
                  <c:v>30.39286985839556</c:v>
                </c:pt>
                <c:pt idx="15">
                  <c:v>31.231305928420177</c:v>
                </c:pt>
                <c:pt idx="16">
                  <c:v>35.697004877490201</c:v>
                </c:pt>
                <c:pt idx="17">
                  <c:v>37.997864152464203</c:v>
                </c:pt>
                <c:pt idx="18">
                  <c:v>43.716415890087212</c:v>
                </c:pt>
                <c:pt idx="19">
                  <c:v>45.036970641284604</c:v>
                </c:pt>
                <c:pt idx="20">
                  <c:v>49.324956062835163</c:v>
                </c:pt>
                <c:pt idx="21">
                  <c:v>38.828031205645004</c:v>
                </c:pt>
                <c:pt idx="22">
                  <c:v>20.21495440822034</c:v>
                </c:pt>
                <c:pt idx="23">
                  <c:v>-35.895666208565842</c:v>
                </c:pt>
                <c:pt idx="24">
                  <c:v>-50.774751726821179</c:v>
                </c:pt>
                <c:pt idx="25">
                  <c:v>-54.937177663892648</c:v>
                </c:pt>
                <c:pt idx="26">
                  <c:v>-57.498069610436062</c:v>
                </c:pt>
                <c:pt idx="27">
                  <c:v>-57.978102880969338</c:v>
                </c:pt>
                <c:pt idx="28">
                  <c:v>-56.749670344104828</c:v>
                </c:pt>
                <c:pt idx="29">
                  <c:v>-56.136002763964946</c:v>
                </c:pt>
                <c:pt idx="30">
                  <c:v>-55.933936047390823</c:v>
                </c:pt>
                <c:pt idx="31">
                  <c:v>-55.022892178050412</c:v>
                </c:pt>
                <c:pt idx="32">
                  <c:v>-52.933590854500792</c:v>
                </c:pt>
                <c:pt idx="33">
                  <c:v>-45.745211693758641</c:v>
                </c:pt>
                <c:pt idx="34">
                  <c:v>-31.68795534931656</c:v>
                </c:pt>
                <c:pt idx="35">
                  <c:v>15.201717956641412</c:v>
                </c:pt>
                <c:pt idx="36">
                  <c:v>24.289688859981702</c:v>
                </c:pt>
                <c:pt idx="37">
                  <c:v>31.188676056227589</c:v>
                </c:pt>
                <c:pt idx="38">
                  <c:v>37.392057553439216</c:v>
                </c:pt>
                <c:pt idx="39">
                  <c:v>40.645624236653418</c:v>
                </c:pt>
                <c:pt idx="40">
                  <c:v>45.529117032702899</c:v>
                </c:pt>
                <c:pt idx="41">
                  <c:v>48.554247991850644</c:v>
                </c:pt>
                <c:pt idx="42">
                  <c:v>48.508660585129547</c:v>
                </c:pt>
                <c:pt idx="43">
                  <c:v>27.900882078821631</c:v>
                </c:pt>
                <c:pt idx="44">
                  <c:v>-32.750360191074627</c:v>
                </c:pt>
                <c:pt idx="45">
                  <c:v>-40.277552442149336</c:v>
                </c:pt>
                <c:pt idx="46">
                  <c:v>-53.226093242912583</c:v>
                </c:pt>
                <c:pt idx="47">
                  <c:v>-78.993650378189457</c:v>
                </c:pt>
                <c:pt idx="48">
                  <c:v>-128.3732779273555</c:v>
                </c:pt>
                <c:pt idx="49">
                  <c:v>-134.004526538509</c:v>
                </c:pt>
                <c:pt idx="50">
                  <c:v>-130.4687058538882</c:v>
                </c:pt>
                <c:pt idx="51">
                  <c:v>-124.9900437218223</c:v>
                </c:pt>
                <c:pt idx="52">
                  <c:v>-113.06303146036541</c:v>
                </c:pt>
                <c:pt idx="53">
                  <c:v>-93.558288841424627</c:v>
                </c:pt>
                <c:pt idx="54">
                  <c:v>-62.269591254200016</c:v>
                </c:pt>
                <c:pt idx="55">
                  <c:v>-56.997278304494913</c:v>
                </c:pt>
                <c:pt idx="56">
                  <c:v>-47.750178469096483</c:v>
                </c:pt>
                <c:pt idx="57">
                  <c:v>-29.817851551809571</c:v>
                </c:pt>
                <c:pt idx="58">
                  <c:v>34.187877617498771</c:v>
                </c:pt>
                <c:pt idx="59">
                  <c:v>43.814289144772836</c:v>
                </c:pt>
                <c:pt idx="60">
                  <c:v>44.280329136494771</c:v>
                </c:pt>
                <c:pt idx="61">
                  <c:v>43.98696866590236</c:v>
                </c:pt>
                <c:pt idx="62">
                  <c:v>43.948202060274738</c:v>
                </c:pt>
                <c:pt idx="63">
                  <c:v>44.794443116605308</c:v>
                </c:pt>
                <c:pt idx="64">
                  <c:v>45.610444468867676</c:v>
                </c:pt>
                <c:pt idx="65">
                  <c:v>50.813350942611692</c:v>
                </c:pt>
                <c:pt idx="66">
                  <c:v>46.272469610543801</c:v>
                </c:pt>
                <c:pt idx="67">
                  <c:v>45.890116167753746</c:v>
                </c:pt>
                <c:pt idx="68">
                  <c:v>35.923639083535072</c:v>
                </c:pt>
                <c:pt idx="69">
                  <c:v>20.313883595087511</c:v>
                </c:pt>
                <c:pt idx="70">
                  <c:v>-28.000781094706639</c:v>
                </c:pt>
                <c:pt idx="71">
                  <c:v>-31.260237599010122</c:v>
                </c:pt>
                <c:pt idx="72">
                  <c:v>-31.487786002179856</c:v>
                </c:pt>
                <c:pt idx="73">
                  <c:v>-29.347974800185302</c:v>
                </c:pt>
                <c:pt idx="74">
                  <c:v>-30.530801784264071</c:v>
                </c:pt>
                <c:pt idx="75">
                  <c:v>-30.256560668815407</c:v>
                </c:pt>
                <c:pt idx="76">
                  <c:v>-28.924926929128702</c:v>
                </c:pt>
                <c:pt idx="77">
                  <c:v>-28.450380864800138</c:v>
                </c:pt>
                <c:pt idx="78">
                  <c:v>-26.93433730077502</c:v>
                </c:pt>
                <c:pt idx="79">
                  <c:v>15.414138156926821</c:v>
                </c:pt>
                <c:pt idx="80">
                  <c:v>28.294886833093656</c:v>
                </c:pt>
                <c:pt idx="81">
                  <c:v>42.904440088718424</c:v>
                </c:pt>
                <c:pt idx="82">
                  <c:v>43.763112789700507</c:v>
                </c:pt>
                <c:pt idx="83">
                  <c:v>42.285226760495142</c:v>
                </c:pt>
                <c:pt idx="84">
                  <c:v>42.755318808278439</c:v>
                </c:pt>
                <c:pt idx="85">
                  <c:v>44.638188596984904</c:v>
                </c:pt>
                <c:pt idx="86">
                  <c:v>45.695914469205718</c:v>
                </c:pt>
                <c:pt idx="87">
                  <c:v>49.907698488035152</c:v>
                </c:pt>
                <c:pt idx="88">
                  <c:v>49.267718252513909</c:v>
                </c:pt>
                <c:pt idx="89">
                  <c:v>50.709754404451303</c:v>
                </c:pt>
                <c:pt idx="90">
                  <c:v>45.484210293929202</c:v>
                </c:pt>
                <c:pt idx="91">
                  <c:v>17.613671411395739</c:v>
                </c:pt>
                <c:pt idx="92">
                  <c:v>-30.353413511201989</c:v>
                </c:pt>
                <c:pt idx="93">
                  <c:v>-32.228000487739322</c:v>
                </c:pt>
                <c:pt idx="94">
                  <c:v>-34.780036432180836</c:v>
                </c:pt>
                <c:pt idx="95">
                  <c:v>-35.680744054177069</c:v>
                </c:pt>
                <c:pt idx="96">
                  <c:v>-36.21160156833637</c:v>
                </c:pt>
                <c:pt idx="97">
                  <c:v>-36.281460838014759</c:v>
                </c:pt>
                <c:pt idx="98">
                  <c:v>-36.092702208295357</c:v>
                </c:pt>
                <c:pt idx="99">
                  <c:v>-35.809542646966591</c:v>
                </c:pt>
                <c:pt idx="100">
                  <c:v>-35.054614922841246</c:v>
                </c:pt>
                <c:pt idx="101">
                  <c:v>-28.473691559129488</c:v>
                </c:pt>
                <c:pt idx="102">
                  <c:v>21.234176729588281</c:v>
                </c:pt>
                <c:pt idx="103">
                  <c:v>27.92721461168825</c:v>
                </c:pt>
                <c:pt idx="104">
                  <c:v>41.594175304988617</c:v>
                </c:pt>
                <c:pt idx="105">
                  <c:v>55.148828964697572</c:v>
                </c:pt>
                <c:pt idx="106">
                  <c:v>56.940821669780561</c:v>
                </c:pt>
                <c:pt idx="107">
                  <c:v>57.136835910139951</c:v>
                </c:pt>
                <c:pt idx="108">
                  <c:v>53.158387639938923</c:v>
                </c:pt>
                <c:pt idx="109">
                  <c:v>47.754466040700798</c:v>
                </c:pt>
                <c:pt idx="110">
                  <c:v>39.166636293304791</c:v>
                </c:pt>
                <c:pt idx="111">
                  <c:v>37.46363512363731</c:v>
                </c:pt>
                <c:pt idx="112">
                  <c:v>39.82671890203283</c:v>
                </c:pt>
                <c:pt idx="113">
                  <c:v>38.773836335634201</c:v>
                </c:pt>
                <c:pt idx="114">
                  <c:v>37.399844640481362</c:v>
                </c:pt>
                <c:pt idx="115">
                  <c:v>30.65305225355668</c:v>
                </c:pt>
                <c:pt idx="116">
                  <c:v>28.586747803027318</c:v>
                </c:pt>
                <c:pt idx="117">
                  <c:v>27.343648250119763</c:v>
                </c:pt>
                <c:pt idx="118">
                  <c:v>27.37598598725539</c:v>
                </c:pt>
                <c:pt idx="119">
                  <c:v>29.043037758643248</c:v>
                </c:pt>
                <c:pt idx="120">
                  <c:v>32.769654773516457</c:v>
                </c:pt>
                <c:pt idx="121">
                  <c:v>33.814287644119936</c:v>
                </c:pt>
                <c:pt idx="122">
                  <c:v>32.315553240223387</c:v>
                </c:pt>
                <c:pt idx="123">
                  <c:v>35.936930738893793</c:v>
                </c:pt>
                <c:pt idx="124">
                  <c:v>37.60201287367007</c:v>
                </c:pt>
                <c:pt idx="125">
                  <c:v>40.933651831499802</c:v>
                </c:pt>
                <c:pt idx="126">
                  <c:v>45.676310345395585</c:v>
                </c:pt>
                <c:pt idx="127">
                  <c:v>47.553777074575223</c:v>
                </c:pt>
                <c:pt idx="128">
                  <c:v>48.940731624882609</c:v>
                </c:pt>
                <c:pt idx="129">
                  <c:v>51.95842867209651</c:v>
                </c:pt>
                <c:pt idx="130">
                  <c:v>52.91366223180426</c:v>
                </c:pt>
                <c:pt idx="131">
                  <c:v>52.598872779556814</c:v>
                </c:pt>
                <c:pt idx="132">
                  <c:v>58.600567197976261</c:v>
                </c:pt>
                <c:pt idx="133">
                  <c:v>55.645860154679369</c:v>
                </c:pt>
                <c:pt idx="134">
                  <c:v>56.290351332924381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CC-4220-AD4B-FD2F3EDA6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317712"/>
        <c:axId val="566313392"/>
      </c:scatterChart>
      <c:valAx>
        <c:axId val="5663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6313392"/>
        <c:crosses val="autoZero"/>
        <c:crossBetween val="midCat"/>
        <c:majorUnit val="0.5"/>
      </c:valAx>
      <c:valAx>
        <c:axId val="5663133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6317712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Médias móveis 24h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'Diferentes médias móveis'!$X$1</c:f>
              <c:strCache>
                <c:ptCount val="1"/>
                <c:pt idx="0">
                  <c:v>N0_24h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móveis'!$X$2:$X$136</c:f>
              <c:numCache>
                <c:formatCode>General</c:formatCode>
                <c:ptCount val="135"/>
                <c:pt idx="23">
                  <c:v>14.504945181713985</c:v>
                </c:pt>
                <c:pt idx="24">
                  <c:v>4.9001941306040395</c:v>
                </c:pt>
                <c:pt idx="25">
                  <c:v>2.2738433659952579</c:v>
                </c:pt>
                <c:pt idx="26">
                  <c:v>2.5298663138437303</c:v>
                </c:pt>
                <c:pt idx="27">
                  <c:v>2.5182511916754873</c:v>
                </c:pt>
                <c:pt idx="28">
                  <c:v>2.6683927104757905</c:v>
                </c:pt>
                <c:pt idx="29">
                  <c:v>2.7682825151672099</c:v>
                </c:pt>
                <c:pt idx="30">
                  <c:v>2.8080696896086095</c:v>
                </c:pt>
                <c:pt idx="31">
                  <c:v>2.8948371191905311</c:v>
                </c:pt>
                <c:pt idx="32">
                  <c:v>2.9884463281293252</c:v>
                </c:pt>
                <c:pt idx="33">
                  <c:v>3.0665536297506528</c:v>
                </c:pt>
                <c:pt idx="34">
                  <c:v>3.1844574577573019</c:v>
                </c:pt>
                <c:pt idx="35">
                  <c:v>3.1252679226916285</c:v>
                </c:pt>
                <c:pt idx="36">
                  <c:v>3.0778403802208016</c:v>
                </c:pt>
                <c:pt idx="37">
                  <c:v>2.9768849361185499</c:v>
                </c:pt>
                <c:pt idx="38">
                  <c:v>2.9419006064539079</c:v>
                </c:pt>
                <c:pt idx="39">
                  <c:v>3.1210583520889443</c:v>
                </c:pt>
                <c:pt idx="40">
                  <c:v>3.10970460629474</c:v>
                </c:pt>
                <c:pt idx="41">
                  <c:v>3.2095453585488527</c:v>
                </c:pt>
                <c:pt idx="42">
                  <c:v>3.1438188666028668</c:v>
                </c:pt>
                <c:pt idx="43">
                  <c:v>2.4762109755191735</c:v>
                </c:pt>
                <c:pt idx="44">
                  <c:v>0.19811924766653249</c:v>
                </c:pt>
                <c:pt idx="45">
                  <c:v>-0.65084697274485759</c:v>
                </c:pt>
                <c:pt idx="46">
                  <c:v>-2.1392671380953576</c:v>
                </c:pt>
                <c:pt idx="47">
                  <c:v>-3.1379339619777458</c:v>
                </c:pt>
                <c:pt idx="48">
                  <c:v>-2.679238486953532</c:v>
                </c:pt>
                <c:pt idx="49">
                  <c:v>-2.0222512037666727</c:v>
                </c:pt>
                <c:pt idx="50">
                  <c:v>-1.635565054855928</c:v>
                </c:pt>
                <c:pt idx="51">
                  <c:v>-1.4154497630485943</c:v>
                </c:pt>
                <c:pt idx="52">
                  <c:v>-1.2609654842062863</c:v>
                </c:pt>
                <c:pt idx="53">
                  <c:v>-1.212443084376684</c:v>
                </c:pt>
                <c:pt idx="54">
                  <c:v>-1.1930305899797711</c:v>
                </c:pt>
                <c:pt idx="55">
                  <c:v>-1.2074404122603466</c:v>
                </c:pt>
                <c:pt idx="56">
                  <c:v>-1.1447050793044242</c:v>
                </c:pt>
                <c:pt idx="57">
                  <c:v>-1.2209780751672741</c:v>
                </c:pt>
                <c:pt idx="58">
                  <c:v>-1.2107760674334416</c:v>
                </c:pt>
                <c:pt idx="59">
                  <c:v>-1.154406400304929</c:v>
                </c:pt>
                <c:pt idx="60">
                  <c:v>-1.1739645214766739</c:v>
                </c:pt>
                <c:pt idx="61">
                  <c:v>-1.1579870725400385</c:v>
                </c:pt>
                <c:pt idx="62">
                  <c:v>-1.1392136715299526</c:v>
                </c:pt>
                <c:pt idx="63">
                  <c:v>-1.1366772107841858</c:v>
                </c:pt>
                <c:pt idx="64">
                  <c:v>-1.1836111222583017</c:v>
                </c:pt>
                <c:pt idx="65">
                  <c:v>-1.1785803629604228</c:v>
                </c:pt>
                <c:pt idx="66">
                  <c:v>-1.1771121338110535</c:v>
                </c:pt>
                <c:pt idx="67">
                  <c:v>-0.86459139719659994</c:v>
                </c:pt>
                <c:pt idx="68">
                  <c:v>0.78278623309211703</c:v>
                </c:pt>
                <c:pt idx="69">
                  <c:v>1.4457748239013732</c:v>
                </c:pt>
                <c:pt idx="70">
                  <c:v>4.1808007142098216</c:v>
                </c:pt>
                <c:pt idx="71">
                  <c:v>13.218041314064788</c:v>
                </c:pt>
                <c:pt idx="72">
                  <c:v>26.226090060223772</c:v>
                </c:pt>
                <c:pt idx="73">
                  <c:v>28.398054168213356</c:v>
                </c:pt>
                <c:pt idx="74">
                  <c:v>28.828840100119642</c:v>
                </c:pt>
                <c:pt idx="75">
                  <c:v>28.170597603697168</c:v>
                </c:pt>
                <c:pt idx="76">
                  <c:v>27.762788718744847</c:v>
                </c:pt>
                <c:pt idx="77">
                  <c:v>27.000976369805109</c:v>
                </c:pt>
                <c:pt idx="78">
                  <c:v>27.47360217512486</c:v>
                </c:pt>
                <c:pt idx="79">
                  <c:v>28.155113249451126</c:v>
                </c:pt>
                <c:pt idx="80">
                  <c:v>27.744588888630496</c:v>
                </c:pt>
                <c:pt idx="81">
                  <c:v>28.739390107472406</c:v>
                </c:pt>
                <c:pt idx="82">
                  <c:v>28.944433261923642</c:v>
                </c:pt>
                <c:pt idx="83">
                  <c:v>28.148922891809807</c:v>
                </c:pt>
                <c:pt idx="84">
                  <c:v>28.618626466371307</c:v>
                </c:pt>
                <c:pt idx="85">
                  <c:v>28.682095778672235</c:v>
                </c:pt>
                <c:pt idx="86">
                  <c:v>28.47655101357061</c:v>
                </c:pt>
                <c:pt idx="87">
                  <c:v>28.435694145787622</c:v>
                </c:pt>
                <c:pt idx="88">
                  <c:v>28.441974381132901</c:v>
                </c:pt>
                <c:pt idx="89">
                  <c:v>28.36048507629042</c:v>
                </c:pt>
                <c:pt idx="90">
                  <c:v>27.644790654815544</c:v>
                </c:pt>
                <c:pt idx="91">
                  <c:v>18.896185379067099</c:v>
                </c:pt>
                <c:pt idx="92">
                  <c:v>13.42177245565726</c:v>
                </c:pt>
                <c:pt idx="93">
                  <c:v>14.376449798084545</c:v>
                </c:pt>
                <c:pt idx="94">
                  <c:v>16.213080990960442</c:v>
                </c:pt>
                <c:pt idx="95">
                  <c:v>17.595647890535908</c:v>
                </c:pt>
                <c:pt idx="96">
                  <c:v>17.346160755508421</c:v>
                </c:pt>
                <c:pt idx="97">
                  <c:v>17.279156083209202</c:v>
                </c:pt>
                <c:pt idx="98">
                  <c:v>17.540756396342477</c:v>
                </c:pt>
                <c:pt idx="99">
                  <c:v>18.008042919777839</c:v>
                </c:pt>
                <c:pt idx="100">
                  <c:v>18.248242183573222</c:v>
                </c:pt>
                <c:pt idx="101">
                  <c:v>18.758579695386928</c:v>
                </c:pt>
                <c:pt idx="102">
                  <c:v>18.520744134869719</c:v>
                </c:pt>
                <c:pt idx="103">
                  <c:v>18.483532504154539</c:v>
                </c:pt>
                <c:pt idx="104">
                  <c:v>18.495926126832874</c:v>
                </c:pt>
                <c:pt idx="105">
                  <c:v>18.718978694829268</c:v>
                </c:pt>
                <c:pt idx="106">
                  <c:v>18.517196191091511</c:v>
                </c:pt>
                <c:pt idx="107">
                  <c:v>18.708196405387529</c:v>
                </c:pt>
                <c:pt idx="108">
                  <c:v>18.531393000266906</c:v>
                </c:pt>
                <c:pt idx="109">
                  <c:v>18.151002424848116</c:v>
                </c:pt>
                <c:pt idx="110">
                  <c:v>17.19948451098081</c:v>
                </c:pt>
                <c:pt idx="111">
                  <c:v>17.097695512754829</c:v>
                </c:pt>
                <c:pt idx="112">
                  <c:v>17.398674268766957</c:v>
                </c:pt>
                <c:pt idx="113">
                  <c:v>17.057502882068921</c:v>
                </c:pt>
                <c:pt idx="114">
                  <c:v>17.07195920752353</c:v>
                </c:pt>
                <c:pt idx="115">
                  <c:v>23.456063738332254</c:v>
                </c:pt>
                <c:pt idx="116">
                  <c:v>36.513502734613418</c:v>
                </c:pt>
                <c:pt idx="117">
                  <c:v>41.250087774271634</c:v>
                </c:pt>
                <c:pt idx="118">
                  <c:v>50.479537934367968</c:v>
                </c:pt>
                <c:pt idx="119">
                  <c:v>55.543000238430061</c:v>
                </c:pt>
                <c:pt idx="120">
                  <c:v>56.476034873134175</c:v>
                </c:pt>
                <c:pt idx="121">
                  <c:v>57.146618575654543</c:v>
                </c:pt>
                <c:pt idx="122">
                  <c:v>54.773285554506437</c:v>
                </c:pt>
                <c:pt idx="123">
                  <c:v>54.903234917383557</c:v>
                </c:pt>
                <c:pt idx="124">
                  <c:v>53.911363028130012</c:v>
                </c:pt>
                <c:pt idx="125">
                  <c:v>53.096205694212998</c:v>
                </c:pt>
                <c:pt idx="126">
                  <c:v>54.10566514614996</c:v>
                </c:pt>
                <c:pt idx="127">
                  <c:v>53.576173566553273</c:v>
                </c:pt>
                <c:pt idx="128">
                  <c:v>54.03795100942034</c:v>
                </c:pt>
                <c:pt idx="129">
                  <c:v>53.426456478546804</c:v>
                </c:pt>
                <c:pt idx="130">
                  <c:v>53.318755190736631</c:v>
                </c:pt>
                <c:pt idx="131">
                  <c:v>53.426456478546804</c:v>
                </c:pt>
                <c:pt idx="132">
                  <c:v>54.981449437082176</c:v>
                </c:pt>
                <c:pt idx="133">
                  <c:v>56.539768972796708</c:v>
                </c:pt>
                <c:pt idx="134">
                  <c:v>62.153108816395566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7A-4101-BCDD-D5E49DE97E3D}"/>
            </c:ext>
          </c:extLst>
        </c:ser>
        <c:ser>
          <c:idx val="1"/>
          <c:order val="1"/>
          <c:tx>
            <c:strRef>
              <c:f>'Diferentes médias móveis'!$Y$1</c:f>
              <c:strCache>
                <c:ptCount val="1"/>
                <c:pt idx="0">
                  <c:v>UTS_24h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móveis'!$Y$2:$Y$136</c:f>
              <c:numCache>
                <c:formatCode>General</c:formatCode>
                <c:ptCount val="135"/>
                <c:pt idx="23">
                  <c:v>-29.042590413763751</c:v>
                </c:pt>
                <c:pt idx="24">
                  <c:v>-38.237421344208713</c:v>
                </c:pt>
                <c:pt idx="25">
                  <c:v>-41.778663198002633</c:v>
                </c:pt>
                <c:pt idx="26">
                  <c:v>-41.698068447359013</c:v>
                </c:pt>
                <c:pt idx="27">
                  <c:v>-41.320205199789449</c:v>
                </c:pt>
                <c:pt idx="28">
                  <c:v>-39.171608665762207</c:v>
                </c:pt>
                <c:pt idx="29">
                  <c:v>-38.065351558700748</c:v>
                </c:pt>
                <c:pt idx="30">
                  <c:v>-37.539382461875299</c:v>
                </c:pt>
                <c:pt idx="31">
                  <c:v>-36.894560387454121</c:v>
                </c:pt>
                <c:pt idx="32">
                  <c:v>-36.411230325043839</c:v>
                </c:pt>
                <c:pt idx="33">
                  <c:v>-36.099880151861576</c:v>
                </c:pt>
                <c:pt idx="34">
                  <c:v>-35.7796744250983</c:v>
                </c:pt>
                <c:pt idx="35">
                  <c:v>-35.802666247318768</c:v>
                </c:pt>
                <c:pt idx="36">
                  <c:v>-35.803841738479505</c:v>
                </c:pt>
                <c:pt idx="37">
                  <c:v>-35.905009080478159</c:v>
                </c:pt>
                <c:pt idx="38">
                  <c:v>-35.919377482718211</c:v>
                </c:pt>
                <c:pt idx="39">
                  <c:v>-35.598759989865805</c:v>
                </c:pt>
                <c:pt idx="40">
                  <c:v>-35.581305263059619</c:v>
                </c:pt>
                <c:pt idx="41">
                  <c:v>-35.524042605806784</c:v>
                </c:pt>
                <c:pt idx="42">
                  <c:v>-36.311266637706453</c:v>
                </c:pt>
                <c:pt idx="43">
                  <c:v>-38.489114507973319</c:v>
                </c:pt>
                <c:pt idx="44">
                  <c:v>-43.715263270023691</c:v>
                </c:pt>
                <c:pt idx="45">
                  <c:v>-46.797545386130864</c:v>
                </c:pt>
                <c:pt idx="46">
                  <c:v>-51.3725273264821</c:v>
                </c:pt>
                <c:pt idx="47">
                  <c:v>-54.3093126369765</c:v>
                </c:pt>
                <c:pt idx="48">
                  <c:v>-53.135201330414276</c:v>
                </c:pt>
                <c:pt idx="49">
                  <c:v>-51.340243180914705</c:v>
                </c:pt>
                <c:pt idx="50">
                  <c:v>-49.67497618041935</c:v>
                </c:pt>
                <c:pt idx="51">
                  <c:v>-48.405389034398127</c:v>
                </c:pt>
                <c:pt idx="52">
                  <c:v>-46.666166579190971</c:v>
                </c:pt>
                <c:pt idx="53">
                  <c:v>-45.317538108110497</c:v>
                </c:pt>
                <c:pt idx="54">
                  <c:v>-44.695280882061624</c:v>
                </c:pt>
                <c:pt idx="55">
                  <c:v>-44.484361733829857</c:v>
                </c:pt>
                <c:pt idx="56">
                  <c:v>-44.074024475553308</c:v>
                </c:pt>
                <c:pt idx="57">
                  <c:v>-44.07546695565248</c:v>
                </c:pt>
                <c:pt idx="58">
                  <c:v>-43.955307849281574</c:v>
                </c:pt>
                <c:pt idx="59">
                  <c:v>-43.754901588450466</c:v>
                </c:pt>
                <c:pt idx="60">
                  <c:v>-43.838503820815312</c:v>
                </c:pt>
                <c:pt idx="61">
                  <c:v>-43.793079197485426</c:v>
                </c:pt>
                <c:pt idx="62">
                  <c:v>-43.744163470401993</c:v>
                </c:pt>
                <c:pt idx="63">
                  <c:v>-43.705561516020481</c:v>
                </c:pt>
                <c:pt idx="64">
                  <c:v>-43.76314892430149</c:v>
                </c:pt>
                <c:pt idx="65">
                  <c:v>-43.710434970034214</c:v>
                </c:pt>
                <c:pt idx="66">
                  <c:v>-44.322876204020119</c:v>
                </c:pt>
                <c:pt idx="67">
                  <c:v>-44.492334060181932</c:v>
                </c:pt>
                <c:pt idx="68">
                  <c:v>-42.10343652148282</c:v>
                </c:pt>
                <c:pt idx="69">
                  <c:v>-41.827903318392131</c:v>
                </c:pt>
                <c:pt idx="70">
                  <c:v>-38.583556218668839</c:v>
                </c:pt>
                <c:pt idx="71">
                  <c:v>-30.405974715164959</c:v>
                </c:pt>
                <c:pt idx="72">
                  <c:v>15.83855621534355</c:v>
                </c:pt>
                <c:pt idx="73">
                  <c:v>19.08534318577162</c:v>
                </c:pt>
                <c:pt idx="74">
                  <c:v>17.801390336451981</c:v>
                </c:pt>
                <c:pt idx="75">
                  <c:v>18.320749753860319</c:v>
                </c:pt>
                <c:pt idx="76">
                  <c:v>19.851319724378779</c:v>
                </c:pt>
                <c:pt idx="77">
                  <c:v>20.622070116734832</c:v>
                </c:pt>
                <c:pt idx="78">
                  <c:v>21.639104941237918</c:v>
                </c:pt>
                <c:pt idx="79">
                  <c:v>21.816510821912193</c:v>
                </c:pt>
                <c:pt idx="80">
                  <c:v>21.767883540529269</c:v>
                </c:pt>
                <c:pt idx="81">
                  <c:v>22.24058794062875</c:v>
                </c:pt>
                <c:pt idx="82">
                  <c:v>22.547922481414631</c:v>
                </c:pt>
                <c:pt idx="83">
                  <c:v>22.24179008998858</c:v>
                </c:pt>
                <c:pt idx="84">
                  <c:v>22.420256770724869</c:v>
                </c:pt>
                <c:pt idx="85">
                  <c:v>22.030113638561922</c:v>
                </c:pt>
                <c:pt idx="86">
                  <c:v>21.948666669037483</c:v>
                </c:pt>
                <c:pt idx="87">
                  <c:v>21.700583386549948</c:v>
                </c:pt>
                <c:pt idx="88">
                  <c:v>22.202170391154141</c:v>
                </c:pt>
                <c:pt idx="89">
                  <c:v>22.287368941487578</c:v>
                </c:pt>
                <c:pt idx="90">
                  <c:v>21.236320319520068</c:v>
                </c:pt>
                <c:pt idx="91">
                  <c:v>15.61856154576056</c:v>
                </c:pt>
                <c:pt idx="92">
                  <c:v>-26.575812948111238</c:v>
                </c:pt>
                <c:pt idx="93">
                  <c:v>-26.167192993768811</c:v>
                </c:pt>
                <c:pt idx="94">
                  <c:v>13.277434266573229</c:v>
                </c:pt>
                <c:pt idx="95">
                  <c:v>14.248572322585881</c:v>
                </c:pt>
                <c:pt idx="96">
                  <c:v>13.799211114976858</c:v>
                </c:pt>
                <c:pt idx="97">
                  <c:v>13.717592571834942</c:v>
                </c:pt>
                <c:pt idx="98">
                  <c:v>13.695127864851738</c:v>
                </c:pt>
                <c:pt idx="99">
                  <c:v>14.252065675961989</c:v>
                </c:pt>
                <c:pt idx="100">
                  <c:v>14.67377352889676</c:v>
                </c:pt>
                <c:pt idx="101">
                  <c:v>15.305591664332791</c:v>
                </c:pt>
                <c:pt idx="102">
                  <c:v>15.347408064679369</c:v>
                </c:pt>
                <c:pt idx="103">
                  <c:v>15.555213002957469</c:v>
                </c:pt>
                <c:pt idx="104">
                  <c:v>15.5853524808209</c:v>
                </c:pt>
                <c:pt idx="105">
                  <c:v>15.890347519222569</c:v>
                </c:pt>
                <c:pt idx="106">
                  <c:v>15.793185698923201</c:v>
                </c:pt>
                <c:pt idx="107">
                  <c:v>15.956774505128879</c:v>
                </c:pt>
                <c:pt idx="108">
                  <c:v>15.876771158312792</c:v>
                </c:pt>
                <c:pt idx="109">
                  <c:v>15.521066096349651</c:v>
                </c:pt>
                <c:pt idx="110">
                  <c:v>14.86121027072927</c:v>
                </c:pt>
                <c:pt idx="111">
                  <c:v>14.41410998759447</c:v>
                </c:pt>
                <c:pt idx="112">
                  <c:v>14.652934633435949</c:v>
                </c:pt>
                <c:pt idx="113">
                  <c:v>14.55336201812967</c:v>
                </c:pt>
                <c:pt idx="114">
                  <c:v>14.93696398691047</c:v>
                </c:pt>
                <c:pt idx="115">
                  <c:v>19.549735279079609</c:v>
                </c:pt>
                <c:pt idx="116">
                  <c:v>27.93393704433414</c:v>
                </c:pt>
                <c:pt idx="117">
                  <c:v>30.740591084434239</c:v>
                </c:pt>
                <c:pt idx="118">
                  <c:v>36.174184845485556</c:v>
                </c:pt>
                <c:pt idx="119">
                  <c:v>39.05711027044795</c:v>
                </c:pt>
                <c:pt idx="120">
                  <c:v>38.994476519751942</c:v>
                </c:pt>
                <c:pt idx="121">
                  <c:v>39.346512661968951</c:v>
                </c:pt>
                <c:pt idx="122">
                  <c:v>38.215441517518002</c:v>
                </c:pt>
                <c:pt idx="123">
                  <c:v>40.159028081901049</c:v>
                </c:pt>
                <c:pt idx="124">
                  <c:v>39.390083829755</c:v>
                </c:pt>
                <c:pt idx="125">
                  <c:v>37.153297446258371</c:v>
                </c:pt>
                <c:pt idx="126">
                  <c:v>38.076093798645552</c:v>
                </c:pt>
                <c:pt idx="127">
                  <c:v>37.917033019635191</c:v>
                </c:pt>
                <c:pt idx="128">
                  <c:v>38.075720438512676</c:v>
                </c:pt>
                <c:pt idx="129">
                  <c:v>38.454433599054447</c:v>
                </c:pt>
                <c:pt idx="130">
                  <c:v>39.5550953270292</c:v>
                </c:pt>
                <c:pt idx="131">
                  <c:v>40.120829214531099</c:v>
                </c:pt>
                <c:pt idx="132">
                  <c:v>41.59433546046813</c:v>
                </c:pt>
                <c:pt idx="133">
                  <c:v>42.401284305678189</c:v>
                </c:pt>
                <c:pt idx="134">
                  <c:v>45.43052499851067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7A-4101-BCDD-D5E49DE9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32208"/>
        <c:axId val="621036528"/>
      </c:scatterChart>
      <c:valAx>
        <c:axId val="62103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1036528"/>
        <c:crosses val="autoZero"/>
        <c:crossBetween val="midCat"/>
        <c:majorUnit val="0.5"/>
      </c:valAx>
      <c:valAx>
        <c:axId val="6210365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103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Médias</a:t>
            </a:r>
            <a:r>
              <a:rPr lang="pt-PT" baseline="0"/>
              <a:t> móveis 12h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'Diferentes médias móveis'!$T$1</c:f>
              <c:strCache>
                <c:ptCount val="1"/>
                <c:pt idx="0">
                  <c:v>N0_12h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móveis'!$T$2:$T$136</c:f>
              <c:numCache>
                <c:formatCode>General</c:formatCode>
                <c:ptCount val="135"/>
                <c:pt idx="11">
                  <c:v>20.810031121079263</c:v>
                </c:pt>
                <c:pt idx="12">
                  <c:v>16.187676790698962</c:v>
                </c:pt>
                <c:pt idx="13">
                  <c:v>13.059640990843036</c:v>
                </c:pt>
                <c:pt idx="14">
                  <c:v>24.625123779436947</c:v>
                </c:pt>
                <c:pt idx="15">
                  <c:v>32.521010272861687</c:v>
                </c:pt>
                <c:pt idx="16">
                  <c:v>38.613573806554399</c:v>
                </c:pt>
                <c:pt idx="17">
                  <c:v>47.250550147434836</c:v>
                </c:pt>
                <c:pt idx="18">
                  <c:v>49.722363804827573</c:v>
                </c:pt>
                <c:pt idx="19">
                  <c:v>59.247339613464831</c:v>
                </c:pt>
                <c:pt idx="20">
                  <c:v>73.012056611120002</c:v>
                </c:pt>
                <c:pt idx="21">
                  <c:v>78.257587271173989</c:v>
                </c:pt>
                <c:pt idx="22">
                  <c:v>70.023267079369631</c:v>
                </c:pt>
                <c:pt idx="23">
                  <c:v>34.815362423531909</c:v>
                </c:pt>
                <c:pt idx="24">
                  <c:v>7.8972289052925122</c:v>
                </c:pt>
                <c:pt idx="25">
                  <c:v>-1.0986356156948498</c:v>
                </c:pt>
                <c:pt idx="26">
                  <c:v>-2.9242153154475301</c:v>
                </c:pt>
                <c:pt idx="27">
                  <c:v>-3.4538315105784436</c:v>
                </c:pt>
                <c:pt idx="28">
                  <c:v>-3.7951915705141017</c:v>
                </c:pt>
                <c:pt idx="29">
                  <c:v>-3.9262746985572266</c:v>
                </c:pt>
                <c:pt idx="30">
                  <c:v>-4.0290758448702908</c:v>
                </c:pt>
                <c:pt idx="31">
                  <c:v>-4.1155643154987622</c:v>
                </c:pt>
                <c:pt idx="32">
                  <c:v>-4.1701968313409719</c:v>
                </c:pt>
                <c:pt idx="33">
                  <c:v>-4.0669994251625221</c:v>
                </c:pt>
                <c:pt idx="34">
                  <c:v>-3.4823709880611244</c:v>
                </c:pt>
                <c:pt idx="35">
                  <c:v>-1.0430431030398424</c:v>
                </c:pt>
                <c:pt idx="36">
                  <c:v>7.6341975026593882</c:v>
                </c:pt>
                <c:pt idx="37">
                  <c:v>19.76859949716248</c:v>
                </c:pt>
                <c:pt idx="38">
                  <c:v>32.206982442380742</c:v>
                </c:pt>
                <c:pt idx="39">
                  <c:v>43.594203932639161</c:v>
                </c:pt>
                <c:pt idx="40">
                  <c:v>54.345322321514764</c:v>
                </c:pt>
                <c:pt idx="41">
                  <c:v>62.862764436937326</c:v>
                </c:pt>
                <c:pt idx="42">
                  <c:v>70.656142177663256</c:v>
                </c:pt>
                <c:pt idx="43">
                  <c:v>75.0220714623932</c:v>
                </c:pt>
                <c:pt idx="44">
                  <c:v>46.130774970422387</c:v>
                </c:pt>
                <c:pt idx="45">
                  <c:v>9.3905402464401551</c:v>
                </c:pt>
                <c:pt idx="46">
                  <c:v>3.9341787817366898</c:v>
                </c:pt>
                <c:pt idx="47">
                  <c:v>-2.0205790245740358</c:v>
                </c:pt>
                <c:pt idx="48">
                  <c:v>-5.3577031397979544</c:v>
                </c:pt>
                <c:pt idx="49">
                  <c:v>-6.3127689656387211</c:v>
                </c:pt>
                <c:pt idx="50">
                  <c:v>-6.3910806899424353</c:v>
                </c:pt>
                <c:pt idx="51">
                  <c:v>-6.4041635921744273</c:v>
                </c:pt>
                <c:pt idx="52">
                  <c:v>-6.4187326856290392</c:v>
                </c:pt>
                <c:pt idx="53">
                  <c:v>-6.4186217867191111</c:v>
                </c:pt>
                <c:pt idx="54">
                  <c:v>-6.4223896360105392</c:v>
                </c:pt>
                <c:pt idx="55">
                  <c:v>-6.2642421055165043</c:v>
                </c:pt>
                <c:pt idx="56">
                  <c:v>-5.3233202754647655</c:v>
                </c:pt>
                <c:pt idx="57">
                  <c:v>-4.5616332960280754</c:v>
                </c:pt>
                <c:pt idx="58">
                  <c:v>-1.8755912760242064</c:v>
                </c:pt>
                <c:pt idx="59">
                  <c:v>9.8856080621135387</c:v>
                </c:pt>
                <c:pt idx="60">
                  <c:v>51.768704107188967</c:v>
                </c:pt>
                <c:pt idx="61">
                  <c:v>65.013311292354089</c:v>
                </c:pt>
                <c:pt idx="62">
                  <c:v>67.452262686454333</c:v>
                </c:pt>
                <c:pt idx="63">
                  <c:v>69.259758250150057</c:v>
                </c:pt>
                <c:pt idx="64">
                  <c:v>67.667032206089871</c:v>
                </c:pt>
                <c:pt idx="65">
                  <c:v>66.291553517088062</c:v>
                </c:pt>
                <c:pt idx="66">
                  <c:v>72.706397411772926</c:v>
                </c:pt>
                <c:pt idx="67">
                  <c:v>79.949855275141758</c:v>
                </c:pt>
                <c:pt idx="68">
                  <c:v>73.227341726760926</c:v>
                </c:pt>
                <c:pt idx="69">
                  <c:v>64.020570282243881</c:v>
                </c:pt>
                <c:pt idx="70">
                  <c:v>35.497857783315908</c:v>
                </c:pt>
                <c:pt idx="71">
                  <c:v>18.140464340811146</c:v>
                </c:pt>
                <c:pt idx="72">
                  <c:v>13.63770760991615</c:v>
                </c:pt>
                <c:pt idx="73">
                  <c:v>13.722127112262344</c:v>
                </c:pt>
                <c:pt idx="74">
                  <c:v>13.602473828234141</c:v>
                </c:pt>
                <c:pt idx="75">
                  <c:v>13.621433582121833</c:v>
                </c:pt>
                <c:pt idx="76">
                  <c:v>13.308249190339632</c:v>
                </c:pt>
                <c:pt idx="77">
                  <c:v>12.902618453110298</c:v>
                </c:pt>
                <c:pt idx="78">
                  <c:v>12.165919627605916</c:v>
                </c:pt>
                <c:pt idx="79">
                  <c:v>12.406493340349147</c:v>
                </c:pt>
                <c:pt idx="80">
                  <c:v>13.953752697565386</c:v>
                </c:pt>
                <c:pt idx="81">
                  <c:v>20.565288878028436</c:v>
                </c:pt>
                <c:pt idx="82">
                  <c:v>41.175993497711886</c:v>
                </c:pt>
                <c:pt idx="83">
                  <c:v>68.89722060375388</c:v>
                </c:pt>
                <c:pt idx="84">
                  <c:v>65.417754260805864</c:v>
                </c:pt>
                <c:pt idx="85">
                  <c:v>66.814889374512134</c:v>
                </c:pt>
                <c:pt idx="86">
                  <c:v>66.239604363063734</c:v>
                </c:pt>
                <c:pt idx="87">
                  <c:v>72.101664340279697</c:v>
                </c:pt>
                <c:pt idx="88">
                  <c:v>74.005253061520705</c:v>
                </c:pt>
                <c:pt idx="89">
                  <c:v>81.003545896239473</c:v>
                </c:pt>
                <c:pt idx="90">
                  <c:v>82.573359315130915</c:v>
                </c:pt>
                <c:pt idx="91">
                  <c:v>74.320432012996321</c:v>
                </c:pt>
                <c:pt idx="92">
                  <c:v>24.231489845410341</c:v>
                </c:pt>
                <c:pt idx="93">
                  <c:v>9.9743703050910195</c:v>
                </c:pt>
                <c:pt idx="94">
                  <c:v>7.8617409897302242</c:v>
                </c:pt>
                <c:pt idx="95">
                  <c:v>5.9100622325432797</c:v>
                </c:pt>
                <c:pt idx="96">
                  <c:v>5.0605439121544515</c:v>
                </c:pt>
                <c:pt idx="97">
                  <c:v>4.8972584247639297</c:v>
                </c:pt>
                <c:pt idx="98">
                  <c:v>4.8741944107766288</c:v>
                </c:pt>
                <c:pt idx="99">
                  <c:v>5.0829550462565498</c:v>
                </c:pt>
                <c:pt idx="100">
                  <c:v>5.2716975648979023</c:v>
                </c:pt>
                <c:pt idx="101">
                  <c:v>5.2825781418084512</c:v>
                </c:pt>
                <c:pt idx="102">
                  <c:v>5.5580065205594487</c:v>
                </c:pt>
                <c:pt idx="103">
                  <c:v>11.904231411107443</c:v>
                </c:pt>
                <c:pt idx="104">
                  <c:v>29.303862230415113</c:v>
                </c:pt>
                <c:pt idx="105">
                  <c:v>39.502791413461935</c:v>
                </c:pt>
                <c:pt idx="106">
                  <c:v>68.786324492773403</c:v>
                </c:pt>
                <c:pt idx="107">
                  <c:v>87.157614851730642</c:v>
                </c:pt>
                <c:pt idx="108">
                  <c:v>92.768906816215505</c:v>
                </c:pt>
                <c:pt idx="109">
                  <c:v>92.582455242470417</c:v>
                </c:pt>
                <c:pt idx="110">
                  <c:v>76.860932622804455</c:v>
                </c:pt>
                <c:pt idx="111">
                  <c:v>59.701692654766568</c:v>
                </c:pt>
                <c:pt idx="112">
                  <c:v>56.778379943009419</c:v>
                </c:pt>
                <c:pt idx="113">
                  <c:v>58.905039097905174</c:v>
                </c:pt>
                <c:pt idx="114">
                  <c:v>58.167683684553374</c:v>
                </c:pt>
                <c:pt idx="115">
                  <c:v>54.085644137613876</c:v>
                </c:pt>
                <c:pt idx="116">
                  <c:v>45.107887216925526</c:v>
                </c:pt>
                <c:pt idx="117">
                  <c:v>38.983021831113795</c:v>
                </c:pt>
                <c:pt idx="118">
                  <c:v>37.702785945518869</c:v>
                </c:pt>
                <c:pt idx="119">
                  <c:v>37.485391080475743</c:v>
                </c:pt>
                <c:pt idx="120">
                  <c:v>37.817431320966513</c:v>
                </c:pt>
                <c:pt idx="121">
                  <c:v>39.783649277973673</c:v>
                </c:pt>
                <c:pt idx="122">
                  <c:v>47.910178300793163</c:v>
                </c:pt>
                <c:pt idx="123">
                  <c:v>47.563535769765572</c:v>
                </c:pt>
                <c:pt idx="124">
                  <c:v>47.384279741944525</c:v>
                </c:pt>
                <c:pt idx="125">
                  <c:v>48.959252620499512</c:v>
                </c:pt>
                <c:pt idx="126">
                  <c:v>50.853709140363513</c:v>
                </c:pt>
                <c:pt idx="127">
                  <c:v>62.203626770827945</c:v>
                </c:pt>
                <c:pt idx="128">
                  <c:v>67.910048867714224</c:v>
                </c:pt>
                <c:pt idx="129">
                  <c:v>75.183137973259349</c:v>
                </c:pt>
                <c:pt idx="130">
                  <c:v>80.601024250981638</c:v>
                </c:pt>
                <c:pt idx="131">
                  <c:v>77.36683295720475</c:v>
                </c:pt>
                <c:pt idx="132">
                  <c:v>78.604958282683171</c:v>
                </c:pt>
                <c:pt idx="133">
                  <c:v>82.459464971548755</c:v>
                </c:pt>
                <c:pt idx="134">
                  <c:v>84.079514754068498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7F-407E-AD7D-37EB9DC0AB98}"/>
            </c:ext>
          </c:extLst>
        </c:ser>
        <c:ser>
          <c:idx val="1"/>
          <c:order val="1"/>
          <c:tx>
            <c:strRef>
              <c:f>'Diferentes médias móveis'!$U$1</c:f>
              <c:strCache>
                <c:ptCount val="1"/>
                <c:pt idx="0">
                  <c:v>UTS_12h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móveis'!$U$2:$U$136</c:f>
              <c:numCache>
                <c:formatCode>General</c:formatCode>
                <c:ptCount val="135"/>
                <c:pt idx="11">
                  <c:v>17.217506983838827</c:v>
                </c:pt>
                <c:pt idx="12">
                  <c:v>13.871024194780921</c:v>
                </c:pt>
                <c:pt idx="13">
                  <c:v>-26.424744764046171</c:v>
                </c:pt>
                <c:pt idx="14">
                  <c:v>19.755220342261659</c:v>
                </c:pt>
                <c:pt idx="15">
                  <c:v>24.988105219602161</c:v>
                </c:pt>
                <c:pt idx="16">
                  <c:v>28.862104818023994</c:v>
                </c:pt>
                <c:pt idx="17">
                  <c:v>34.099868685536258</c:v>
                </c:pt>
                <c:pt idx="18">
                  <c:v>34.658685933183449</c:v>
                </c:pt>
                <c:pt idx="19">
                  <c:v>38.124478680880792</c:v>
                </c:pt>
                <c:pt idx="20">
                  <c:v>41.860308061224288</c:v>
                </c:pt>
                <c:pt idx="21">
                  <c:v>42.247454879974875</c:v>
                </c:pt>
                <c:pt idx="22">
                  <c:v>36.93210123381651</c:v>
                </c:pt>
                <c:pt idx="23">
                  <c:v>20.703184360174301</c:v>
                </c:pt>
                <c:pt idx="24">
                  <c:v>-34.851521095918578</c:v>
                </c:pt>
                <c:pt idx="25">
                  <c:v>-48.360606698566471</c:v>
                </c:pt>
                <c:pt idx="26">
                  <c:v>-53.478736085290244</c:v>
                </c:pt>
                <c:pt idx="27">
                  <c:v>-54.694271142255104</c:v>
                </c:pt>
                <c:pt idx="28">
                  <c:v>-53.878402819057278</c:v>
                </c:pt>
                <c:pt idx="29">
                  <c:v>-53.365533789574926</c:v>
                </c:pt>
                <c:pt idx="30">
                  <c:v>-53.252778830999823</c:v>
                </c:pt>
                <c:pt idx="31">
                  <c:v>-53.041115784714265</c:v>
                </c:pt>
                <c:pt idx="32">
                  <c:v>-52.89126167989513</c:v>
                </c:pt>
                <c:pt idx="33">
                  <c:v>-52.333285294499774</c:v>
                </c:pt>
                <c:pt idx="34">
                  <c:v>-50.233544832357921</c:v>
                </c:pt>
                <c:pt idx="35">
                  <c:v>-43.525757730110406</c:v>
                </c:pt>
                <c:pt idx="36">
                  <c:v>-30.342035958276899</c:v>
                </c:pt>
                <c:pt idx="37">
                  <c:v>16.777222430919831</c:v>
                </c:pt>
                <c:pt idx="38">
                  <c:v>25.336210643858507</c:v>
                </c:pt>
                <c:pt idx="39">
                  <c:v>32.49413745349873</c:v>
                </c:pt>
                <c:pt idx="40">
                  <c:v>38.657320576197165</c:v>
                </c:pt>
                <c:pt idx="41">
                  <c:v>42.821169589173508</c:v>
                </c:pt>
                <c:pt idx="42">
                  <c:v>44.136297871567393</c:v>
                </c:pt>
                <c:pt idx="43">
                  <c:v>42.273332655371085</c:v>
                </c:pt>
                <c:pt idx="44">
                  <c:v>27.753422037108681</c:v>
                </c:pt>
                <c:pt idx="45">
                  <c:v>-32.697061352510147</c:v>
                </c:pt>
                <c:pt idx="46">
                  <c:v>-39.687968981801689</c:v>
                </c:pt>
                <c:pt idx="47">
                  <c:v>-51.167066003856831</c:v>
                </c:pt>
                <c:pt idx="48">
                  <c:v>-66.854949864393348</c:v>
                </c:pt>
                <c:pt idx="49">
                  <c:v>-99.669255846575197</c:v>
                </c:pt>
                <c:pt idx="50">
                  <c:v>-99.567632769227217</c:v>
                </c:pt>
                <c:pt idx="51">
                  <c:v>-95.461546697553757</c:v>
                </c:pt>
                <c:pt idx="52">
                  <c:v>-87.349854643104123</c:v>
                </c:pt>
                <c:pt idx="53">
                  <c:v>-79.891095452604006</c:v>
                </c:pt>
                <c:pt idx="54">
                  <c:v>-76.818111560825713</c:v>
                </c:pt>
                <c:pt idx="55">
                  <c:v>-70.414259008980636</c:v>
                </c:pt>
                <c:pt idx="56">
                  <c:v>-57.446234994605405</c:v>
                </c:pt>
                <c:pt idx="57">
                  <c:v>-54.048153447364498</c:v>
                </c:pt>
                <c:pt idx="58">
                  <c:v>-45.596780433400887</c:v>
                </c:pt>
                <c:pt idx="59">
                  <c:v>-28.406519055619338</c:v>
                </c:pt>
                <c:pt idx="60">
                  <c:v>36.541189087788837</c:v>
                </c:pt>
                <c:pt idx="61">
                  <c:v>43.358630643354552</c:v>
                </c:pt>
                <c:pt idx="62">
                  <c:v>44.557802763451484</c:v>
                </c:pt>
                <c:pt idx="63">
                  <c:v>45.541477116323847</c:v>
                </c:pt>
                <c:pt idx="64">
                  <c:v>44.967973619620174</c:v>
                </c:pt>
                <c:pt idx="65">
                  <c:v>44.442838259647672</c:v>
                </c:pt>
                <c:pt idx="66">
                  <c:v>45.248416087827984</c:v>
                </c:pt>
                <c:pt idx="67">
                  <c:v>45.188564335102839</c:v>
                </c:pt>
                <c:pt idx="68">
                  <c:v>39.747101121593097</c:v>
                </c:pt>
                <c:pt idx="69">
                  <c:v>34.290404165739169</c:v>
                </c:pt>
                <c:pt idx="70">
                  <c:v>20.91477572747268</c:v>
                </c:pt>
                <c:pt idx="71">
                  <c:v>-27.623968408590883</c:v>
                </c:pt>
                <c:pt idx="72">
                  <c:v>-30.245999655654792</c:v>
                </c:pt>
                <c:pt idx="73">
                  <c:v>-28.118483048940679</c:v>
                </c:pt>
                <c:pt idx="74">
                  <c:v>-29.55381159713939</c:v>
                </c:pt>
                <c:pt idx="75">
                  <c:v>-28.724656023981083</c:v>
                </c:pt>
                <c:pt idx="76">
                  <c:v>-27.514992762772028</c:v>
                </c:pt>
                <c:pt idx="77">
                  <c:v>-26.929587140677409</c:v>
                </c:pt>
                <c:pt idx="78">
                  <c:v>-26.967925538313832</c:v>
                </c:pt>
                <c:pt idx="79">
                  <c:v>-26.968483130947206</c:v>
                </c:pt>
                <c:pt idx="80">
                  <c:v>11.631492603151599</c:v>
                </c:pt>
                <c:pt idx="81">
                  <c:v>16.789200272365402</c:v>
                </c:pt>
                <c:pt idx="82">
                  <c:v>30.051075617447459</c:v>
                </c:pt>
                <c:pt idx="83">
                  <c:v>44.849405628139309</c:v>
                </c:pt>
                <c:pt idx="84">
                  <c:v>42.910125408589749</c:v>
                </c:pt>
                <c:pt idx="85">
                  <c:v>42.629948144329774</c:v>
                </c:pt>
                <c:pt idx="86">
                  <c:v>42.474336973874486</c:v>
                </c:pt>
                <c:pt idx="87">
                  <c:v>44.604566401040039</c:v>
                </c:pt>
                <c:pt idx="88">
                  <c:v>46.639858678338761</c:v>
                </c:pt>
                <c:pt idx="89">
                  <c:v>50.076693551143535</c:v>
                </c:pt>
                <c:pt idx="90">
                  <c:v>49.126803338125619</c:v>
                </c:pt>
                <c:pt idx="91">
                  <c:v>46.341984136952604</c:v>
                </c:pt>
                <c:pt idx="92">
                  <c:v>18.879510385601488</c:v>
                </c:pt>
                <c:pt idx="93">
                  <c:v>-29.136554796501418</c:v>
                </c:pt>
                <c:pt idx="94">
                  <c:v>-31.04192107745709</c:v>
                </c:pt>
                <c:pt idx="95">
                  <c:v>-33.039862226021391</c:v>
                </c:pt>
                <c:pt idx="96">
                  <c:v>-34.351646432342662</c:v>
                </c:pt>
                <c:pt idx="97">
                  <c:v>-34.596393155132368</c:v>
                </c:pt>
                <c:pt idx="98">
                  <c:v>-34.846008903833301</c:v>
                </c:pt>
                <c:pt idx="99">
                  <c:v>-34.307352320857369</c:v>
                </c:pt>
                <c:pt idx="100">
                  <c:v>-33.802466018955464</c:v>
                </c:pt>
                <c:pt idx="101">
                  <c:v>-33.5057958462504</c:v>
                </c:pt>
                <c:pt idx="102">
                  <c:v>-32.983420963549982</c:v>
                </c:pt>
                <c:pt idx="103">
                  <c:v>-27.099926054560758</c:v>
                </c:pt>
                <c:pt idx="104">
                  <c:v>22.944013597335839</c:v>
                </c:pt>
                <c:pt idx="105">
                  <c:v>29.574678326332769</c:v>
                </c:pt>
                <c:pt idx="106">
                  <c:v>45.318337338086366</c:v>
                </c:pt>
                <c:pt idx="107">
                  <c:v>53.763633271927716</c:v>
                </c:pt>
                <c:pt idx="108">
                  <c:v>56.375734326375238</c:v>
                </c:pt>
                <c:pt idx="109">
                  <c:v>55.905884237117</c:v>
                </c:pt>
                <c:pt idx="110">
                  <c:v>49.140317366886386</c:v>
                </c:pt>
                <c:pt idx="111">
                  <c:v>39.715423674624112</c:v>
                </c:pt>
                <c:pt idx="112">
                  <c:v>38.34351569390703</c:v>
                </c:pt>
                <c:pt idx="113">
                  <c:v>39.834235642210494</c:v>
                </c:pt>
                <c:pt idx="114">
                  <c:v>40.599322602799297</c:v>
                </c:pt>
                <c:pt idx="115">
                  <c:v>38.505170470055937</c:v>
                </c:pt>
                <c:pt idx="116">
                  <c:v>33.0689470938038</c:v>
                </c:pt>
                <c:pt idx="117">
                  <c:v>29.381815324184192</c:v>
                </c:pt>
                <c:pt idx="118">
                  <c:v>28.733006455271031</c:v>
                </c:pt>
                <c:pt idx="119">
                  <c:v>28.699767621496203</c:v>
                </c:pt>
                <c:pt idx="120">
                  <c:v>28.52374578492352</c:v>
                </c:pt>
                <c:pt idx="121">
                  <c:v>29.712678692027371</c:v>
                </c:pt>
                <c:pt idx="122">
                  <c:v>34.490801987513024</c:v>
                </c:pt>
                <c:pt idx="123">
                  <c:v>35.925378611148503</c:v>
                </c:pt>
                <c:pt idx="124">
                  <c:v>35.634404386976385</c:v>
                </c:pt>
                <c:pt idx="125">
                  <c:v>34.915640271573764</c:v>
                </c:pt>
                <c:pt idx="126">
                  <c:v>36.315350504502383</c:v>
                </c:pt>
                <c:pt idx="127">
                  <c:v>42.419736623714712</c:v>
                </c:pt>
                <c:pt idx="128">
                  <c:v>45.137666407414926</c:v>
                </c:pt>
                <c:pt idx="129">
                  <c:v>49.593748422783065</c:v>
                </c:pt>
                <c:pt idx="130">
                  <c:v>53.962695623514747</c:v>
                </c:pt>
                <c:pt idx="131">
                  <c:v>53.120112222881644</c:v>
                </c:pt>
                <c:pt idx="132">
                  <c:v>54.607503974954788</c:v>
                </c:pt>
                <c:pt idx="133">
                  <c:v>56.43883568708744</c:v>
                </c:pt>
                <c:pt idx="134">
                  <c:v>57.019158383933288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7F-407E-AD7D-37EB9DC0A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36168"/>
        <c:axId val="621041568"/>
      </c:scatterChart>
      <c:valAx>
        <c:axId val="62103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1041568"/>
        <c:crosses val="autoZero"/>
        <c:crossBetween val="midCat"/>
        <c:majorUnit val="0.5"/>
      </c:valAx>
      <c:valAx>
        <c:axId val="621041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1036168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'Diferentes médias móveis'!$B$1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móveis'!$B$2:$B$136</c:f>
              <c:numCache>
                <c:formatCode>General</c:formatCode>
                <c:ptCount val="135"/>
                <c:pt idx="0">
                  <c:v>0</c:v>
                </c:pt>
                <c:pt idx="1">
                  <c:v>0</c:v>
                </c:pt>
                <c:pt idx="2">
                  <c:v>409.4</c:v>
                </c:pt>
                <c:pt idx="3">
                  <c:v>229.7</c:v>
                </c:pt>
                <c:pt idx="4">
                  <c:v>227.7</c:v>
                </c:pt>
                <c:pt idx="5">
                  <c:v>172.8</c:v>
                </c:pt>
                <c:pt idx="6">
                  <c:v>153</c:v>
                </c:pt>
                <c:pt idx="7">
                  <c:v>156.6</c:v>
                </c:pt>
                <c:pt idx="8">
                  <c:v>160.19999999999999</c:v>
                </c:pt>
                <c:pt idx="9">
                  <c:v>127.8</c:v>
                </c:pt>
                <c:pt idx="10">
                  <c:v>155.30000000000001</c:v>
                </c:pt>
                <c:pt idx="11">
                  <c:v>120.3</c:v>
                </c:pt>
                <c:pt idx="12">
                  <c:v>107.1</c:v>
                </c:pt>
                <c:pt idx="13">
                  <c:v>105.9</c:v>
                </c:pt>
                <c:pt idx="14">
                  <c:v>114.1</c:v>
                </c:pt>
                <c:pt idx="15">
                  <c:v>163.4</c:v>
                </c:pt>
                <c:pt idx="16">
                  <c:v>104.5</c:v>
                </c:pt>
                <c:pt idx="17">
                  <c:v>137</c:v>
                </c:pt>
                <c:pt idx="18">
                  <c:v>105.4</c:v>
                </c:pt>
                <c:pt idx="19">
                  <c:v>106.6</c:v>
                </c:pt>
                <c:pt idx="20">
                  <c:v>111.7</c:v>
                </c:pt>
                <c:pt idx="21">
                  <c:v>181.5</c:v>
                </c:pt>
                <c:pt idx="22">
                  <c:v>337.4</c:v>
                </c:pt>
                <c:pt idx="23">
                  <c:v>804.7</c:v>
                </c:pt>
                <c:pt idx="24">
                  <c:v>1144</c:v>
                </c:pt>
                <c:pt idx="25">
                  <c:v>590.6</c:v>
                </c:pt>
                <c:pt idx="26">
                  <c:v>342.1</c:v>
                </c:pt>
                <c:pt idx="27">
                  <c:v>232.7</c:v>
                </c:pt>
                <c:pt idx="28">
                  <c:v>189.3</c:v>
                </c:pt>
                <c:pt idx="29">
                  <c:v>147.69999999999999</c:v>
                </c:pt>
                <c:pt idx="30">
                  <c:v>143.1</c:v>
                </c:pt>
                <c:pt idx="31">
                  <c:v>135.19999999999999</c:v>
                </c:pt>
                <c:pt idx="32">
                  <c:v>137.4</c:v>
                </c:pt>
                <c:pt idx="33">
                  <c:v>109</c:v>
                </c:pt>
                <c:pt idx="34">
                  <c:v>127.3</c:v>
                </c:pt>
                <c:pt idx="35">
                  <c:v>134.30000000000001</c:v>
                </c:pt>
                <c:pt idx="36">
                  <c:v>118.4</c:v>
                </c:pt>
                <c:pt idx="37">
                  <c:v>130.19999999999999</c:v>
                </c:pt>
                <c:pt idx="38">
                  <c:v>122.6</c:v>
                </c:pt>
                <c:pt idx="39">
                  <c:v>120.3</c:v>
                </c:pt>
                <c:pt idx="40">
                  <c:v>107.2</c:v>
                </c:pt>
                <c:pt idx="41">
                  <c:v>113.4</c:v>
                </c:pt>
                <c:pt idx="42">
                  <c:v>120.9</c:v>
                </c:pt>
                <c:pt idx="43">
                  <c:v>272.3</c:v>
                </c:pt>
                <c:pt idx="44">
                  <c:v>819.5</c:v>
                </c:pt>
                <c:pt idx="45">
                  <c:v>521.29999999999995</c:v>
                </c:pt>
                <c:pt idx="46">
                  <c:v>1081.9000000000001</c:v>
                </c:pt>
                <c:pt idx="47">
                  <c:v>1452.8</c:v>
                </c:pt>
                <c:pt idx="48">
                  <c:v>828.1</c:v>
                </c:pt>
                <c:pt idx="49">
                  <c:v>191.4</c:v>
                </c:pt>
                <c:pt idx="50">
                  <c:v>132</c:v>
                </c:pt>
                <c:pt idx="51">
                  <c:v>120.3</c:v>
                </c:pt>
                <c:pt idx="52">
                  <c:v>113.3</c:v>
                </c:pt>
                <c:pt idx="53">
                  <c:v>124.3</c:v>
                </c:pt>
                <c:pt idx="54">
                  <c:v>133.80000000000001</c:v>
                </c:pt>
                <c:pt idx="55">
                  <c:v>142.1</c:v>
                </c:pt>
                <c:pt idx="56">
                  <c:v>107.5</c:v>
                </c:pt>
                <c:pt idx="57">
                  <c:v>145.4</c:v>
                </c:pt>
                <c:pt idx="58">
                  <c:v>122.4</c:v>
                </c:pt>
                <c:pt idx="59">
                  <c:v>107.4</c:v>
                </c:pt>
                <c:pt idx="60">
                  <c:v>127.7</c:v>
                </c:pt>
                <c:pt idx="61">
                  <c:v>122.6</c:v>
                </c:pt>
                <c:pt idx="62">
                  <c:v>113.7</c:v>
                </c:pt>
                <c:pt idx="63">
                  <c:v>119.1</c:v>
                </c:pt>
                <c:pt idx="64">
                  <c:v>129.5</c:v>
                </c:pt>
                <c:pt idx="65">
                  <c:v>111</c:v>
                </c:pt>
                <c:pt idx="66">
                  <c:v>120.2</c:v>
                </c:pt>
                <c:pt idx="67">
                  <c:v>127.7</c:v>
                </c:pt>
                <c:pt idx="68">
                  <c:v>178.9</c:v>
                </c:pt>
                <c:pt idx="69">
                  <c:v>309.5</c:v>
                </c:pt>
                <c:pt idx="70">
                  <c:v>397.5</c:v>
                </c:pt>
                <c:pt idx="71">
                  <c:v>268.39999999999998</c:v>
                </c:pt>
                <c:pt idx="72">
                  <c:v>119.5</c:v>
                </c:pt>
                <c:pt idx="73">
                  <c:v>118.1</c:v>
                </c:pt>
                <c:pt idx="74">
                  <c:v>118.4</c:v>
                </c:pt>
                <c:pt idx="75">
                  <c:v>141.19999999999999</c:v>
                </c:pt>
                <c:pt idx="76">
                  <c:v>126.6</c:v>
                </c:pt>
                <c:pt idx="77">
                  <c:v>149.9</c:v>
                </c:pt>
                <c:pt idx="78">
                  <c:v>117.8</c:v>
                </c:pt>
                <c:pt idx="79">
                  <c:v>119.7</c:v>
                </c:pt>
                <c:pt idx="80">
                  <c:v>120.9</c:v>
                </c:pt>
                <c:pt idx="81">
                  <c:v>113.4</c:v>
                </c:pt>
                <c:pt idx="82">
                  <c:v>116</c:v>
                </c:pt>
                <c:pt idx="83">
                  <c:v>132.6</c:v>
                </c:pt>
                <c:pt idx="84">
                  <c:v>112.7</c:v>
                </c:pt>
                <c:pt idx="85">
                  <c:v>120.6</c:v>
                </c:pt>
                <c:pt idx="86">
                  <c:v>120.2</c:v>
                </c:pt>
                <c:pt idx="87">
                  <c:v>120.4</c:v>
                </c:pt>
                <c:pt idx="88">
                  <c:v>129.30000000000001</c:v>
                </c:pt>
                <c:pt idx="89">
                  <c:v>113.6</c:v>
                </c:pt>
                <c:pt idx="90">
                  <c:v>143.5</c:v>
                </c:pt>
                <c:pt idx="91">
                  <c:v>501.2</c:v>
                </c:pt>
                <c:pt idx="92">
                  <c:v>546</c:v>
                </c:pt>
                <c:pt idx="93">
                  <c:v>234.3</c:v>
                </c:pt>
                <c:pt idx="94">
                  <c:v>267.39999999999998</c:v>
                </c:pt>
                <c:pt idx="95">
                  <c:v>181.3</c:v>
                </c:pt>
                <c:pt idx="96">
                  <c:v>134.6</c:v>
                </c:pt>
                <c:pt idx="97">
                  <c:v>122.2</c:v>
                </c:pt>
                <c:pt idx="98">
                  <c:v>102.5</c:v>
                </c:pt>
                <c:pt idx="99">
                  <c:v>113.5</c:v>
                </c:pt>
                <c:pt idx="100">
                  <c:v>112.7</c:v>
                </c:pt>
                <c:pt idx="101">
                  <c:v>121.1</c:v>
                </c:pt>
                <c:pt idx="102">
                  <c:v>131.1</c:v>
                </c:pt>
                <c:pt idx="103">
                  <c:v>121.8</c:v>
                </c:pt>
                <c:pt idx="104">
                  <c:v>120.2</c:v>
                </c:pt>
                <c:pt idx="105">
                  <c:v>100.9</c:v>
                </c:pt>
                <c:pt idx="106">
                  <c:v>127.3</c:v>
                </c:pt>
                <c:pt idx="107">
                  <c:v>121.9</c:v>
                </c:pt>
                <c:pt idx="108">
                  <c:v>122.6</c:v>
                </c:pt>
                <c:pt idx="109">
                  <c:v>142.30000000000001</c:v>
                </c:pt>
                <c:pt idx="110">
                  <c:v>177</c:v>
                </c:pt>
                <c:pt idx="111">
                  <c:v>126.7</c:v>
                </c:pt>
                <c:pt idx="112">
                  <c:v>110.8</c:v>
                </c:pt>
                <c:pt idx="113">
                  <c:v>134.6</c:v>
                </c:pt>
                <c:pt idx="114">
                  <c:v>142.6</c:v>
                </c:pt>
                <c:pt idx="115">
                  <c:v>176.5</c:v>
                </c:pt>
                <c:pt idx="116">
                  <c:v>150.80000000000001</c:v>
                </c:pt>
                <c:pt idx="117">
                  <c:v>139.30000000000001</c:v>
                </c:pt>
                <c:pt idx="118">
                  <c:v>124</c:v>
                </c:pt>
                <c:pt idx="119">
                  <c:v>119.4</c:v>
                </c:pt>
                <c:pt idx="120">
                  <c:v>124.2</c:v>
                </c:pt>
                <c:pt idx="121">
                  <c:v>114.9</c:v>
                </c:pt>
                <c:pt idx="122">
                  <c:v>129</c:v>
                </c:pt>
                <c:pt idx="123">
                  <c:v>112</c:v>
                </c:pt>
                <c:pt idx="124">
                  <c:v>124.3</c:v>
                </c:pt>
                <c:pt idx="125">
                  <c:v>130.9</c:v>
                </c:pt>
                <c:pt idx="126">
                  <c:v>119</c:v>
                </c:pt>
                <c:pt idx="127">
                  <c:v>128.1</c:v>
                </c:pt>
                <c:pt idx="128">
                  <c:v>114.7</c:v>
                </c:pt>
                <c:pt idx="129">
                  <c:v>108.2</c:v>
                </c:pt>
                <c:pt idx="130">
                  <c:v>128.6</c:v>
                </c:pt>
                <c:pt idx="131">
                  <c:v>120.6</c:v>
                </c:pt>
                <c:pt idx="132">
                  <c:v>104.3</c:v>
                </c:pt>
                <c:pt idx="133">
                  <c:v>124.8</c:v>
                </c:pt>
                <c:pt idx="134">
                  <c:v>120.1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6-4156-8BC4-C3F7B055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688335"/>
        <c:axId val="830637359"/>
      </c:scatterChart>
      <c:scatterChart>
        <c:scatterStyle val="lineMarker"/>
        <c:varyColors val="0"/>
        <c:ser>
          <c:idx val="1"/>
          <c:order val="1"/>
          <c:tx>
            <c:strRef>
              <c:f>'Diferentes médias móveis'!$X$1</c:f>
              <c:strCache>
                <c:ptCount val="1"/>
                <c:pt idx="0">
                  <c:v>N0_24h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móveis'!$X$2:$X$136</c:f>
              <c:numCache>
                <c:formatCode>General</c:formatCode>
                <c:ptCount val="135"/>
                <c:pt idx="23">
                  <c:v>14.504945181713985</c:v>
                </c:pt>
                <c:pt idx="24">
                  <c:v>4.9001941306040395</c:v>
                </c:pt>
                <c:pt idx="25">
                  <c:v>2.2738433659952579</c:v>
                </c:pt>
                <c:pt idx="26">
                  <c:v>2.5298663138437303</c:v>
                </c:pt>
                <c:pt idx="27">
                  <c:v>2.5182511916754873</c:v>
                </c:pt>
                <c:pt idx="28">
                  <c:v>2.6683927104757905</c:v>
                </c:pt>
                <c:pt idx="29">
                  <c:v>2.7682825151672099</c:v>
                </c:pt>
                <c:pt idx="30">
                  <c:v>2.8080696896086095</c:v>
                </c:pt>
                <c:pt idx="31">
                  <c:v>2.8948371191905311</c:v>
                </c:pt>
                <c:pt idx="32">
                  <c:v>2.9884463281293252</c:v>
                </c:pt>
                <c:pt idx="33">
                  <c:v>3.0665536297506528</c:v>
                </c:pt>
                <c:pt idx="34">
                  <c:v>3.1844574577573019</c:v>
                </c:pt>
                <c:pt idx="35">
                  <c:v>3.1252679226916285</c:v>
                </c:pt>
                <c:pt idx="36">
                  <c:v>3.0778403802208016</c:v>
                </c:pt>
                <c:pt idx="37">
                  <c:v>2.9768849361185499</c:v>
                </c:pt>
                <c:pt idx="38">
                  <c:v>2.9419006064539079</c:v>
                </c:pt>
                <c:pt idx="39">
                  <c:v>3.1210583520889443</c:v>
                </c:pt>
                <c:pt idx="40">
                  <c:v>3.10970460629474</c:v>
                </c:pt>
                <c:pt idx="41">
                  <c:v>3.2095453585488527</c:v>
                </c:pt>
                <c:pt idx="42">
                  <c:v>3.1438188666028668</c:v>
                </c:pt>
                <c:pt idx="43">
                  <c:v>2.4762109755191735</c:v>
                </c:pt>
                <c:pt idx="44">
                  <c:v>0.19811924766653249</c:v>
                </c:pt>
                <c:pt idx="45">
                  <c:v>-0.65084697274485759</c:v>
                </c:pt>
                <c:pt idx="46">
                  <c:v>-2.1392671380953576</c:v>
                </c:pt>
                <c:pt idx="47">
                  <c:v>-3.1379339619777458</c:v>
                </c:pt>
                <c:pt idx="48">
                  <c:v>-2.679238486953532</c:v>
                </c:pt>
                <c:pt idx="49">
                  <c:v>-2.0222512037666727</c:v>
                </c:pt>
                <c:pt idx="50">
                  <c:v>-1.635565054855928</c:v>
                </c:pt>
                <c:pt idx="51">
                  <c:v>-1.4154497630485943</c:v>
                </c:pt>
                <c:pt idx="52">
                  <c:v>-1.2609654842062863</c:v>
                </c:pt>
                <c:pt idx="53">
                  <c:v>-1.212443084376684</c:v>
                </c:pt>
                <c:pt idx="54">
                  <c:v>-1.1930305899797711</c:v>
                </c:pt>
                <c:pt idx="55">
                  <c:v>-1.2074404122603466</c:v>
                </c:pt>
                <c:pt idx="56">
                  <c:v>-1.1447050793044242</c:v>
                </c:pt>
                <c:pt idx="57">
                  <c:v>-1.2209780751672741</c:v>
                </c:pt>
                <c:pt idx="58">
                  <c:v>-1.2107760674334416</c:v>
                </c:pt>
                <c:pt idx="59">
                  <c:v>-1.154406400304929</c:v>
                </c:pt>
                <c:pt idx="60">
                  <c:v>-1.1739645214766739</c:v>
                </c:pt>
                <c:pt idx="61">
                  <c:v>-1.1579870725400385</c:v>
                </c:pt>
                <c:pt idx="62">
                  <c:v>-1.1392136715299526</c:v>
                </c:pt>
                <c:pt idx="63">
                  <c:v>-1.1366772107841858</c:v>
                </c:pt>
                <c:pt idx="64">
                  <c:v>-1.1836111222583017</c:v>
                </c:pt>
                <c:pt idx="65">
                  <c:v>-1.1785803629604228</c:v>
                </c:pt>
                <c:pt idx="66">
                  <c:v>-1.1771121338110535</c:v>
                </c:pt>
                <c:pt idx="67">
                  <c:v>-0.86459139719659994</c:v>
                </c:pt>
                <c:pt idx="68">
                  <c:v>0.78278623309211703</c:v>
                </c:pt>
                <c:pt idx="69">
                  <c:v>1.4457748239013732</c:v>
                </c:pt>
                <c:pt idx="70">
                  <c:v>4.1808007142098216</c:v>
                </c:pt>
                <c:pt idx="71">
                  <c:v>13.218041314064788</c:v>
                </c:pt>
                <c:pt idx="72">
                  <c:v>26.226090060223772</c:v>
                </c:pt>
                <c:pt idx="73">
                  <c:v>28.398054168213356</c:v>
                </c:pt>
                <c:pt idx="74">
                  <c:v>28.828840100119642</c:v>
                </c:pt>
                <c:pt idx="75">
                  <c:v>28.170597603697168</c:v>
                </c:pt>
                <c:pt idx="76">
                  <c:v>27.762788718744847</c:v>
                </c:pt>
                <c:pt idx="77">
                  <c:v>27.000976369805109</c:v>
                </c:pt>
                <c:pt idx="78">
                  <c:v>27.47360217512486</c:v>
                </c:pt>
                <c:pt idx="79">
                  <c:v>28.155113249451126</c:v>
                </c:pt>
                <c:pt idx="80">
                  <c:v>27.744588888630496</c:v>
                </c:pt>
                <c:pt idx="81">
                  <c:v>28.739390107472406</c:v>
                </c:pt>
                <c:pt idx="82">
                  <c:v>28.944433261923642</c:v>
                </c:pt>
                <c:pt idx="83">
                  <c:v>28.148922891809807</c:v>
                </c:pt>
                <c:pt idx="84">
                  <c:v>28.618626466371307</c:v>
                </c:pt>
                <c:pt idx="85">
                  <c:v>28.682095778672235</c:v>
                </c:pt>
                <c:pt idx="86">
                  <c:v>28.47655101357061</c:v>
                </c:pt>
                <c:pt idx="87">
                  <c:v>28.435694145787622</c:v>
                </c:pt>
                <c:pt idx="88">
                  <c:v>28.441974381132901</c:v>
                </c:pt>
                <c:pt idx="89">
                  <c:v>28.36048507629042</c:v>
                </c:pt>
                <c:pt idx="90">
                  <c:v>27.644790654815544</c:v>
                </c:pt>
                <c:pt idx="91">
                  <c:v>18.896185379067099</c:v>
                </c:pt>
                <c:pt idx="92">
                  <c:v>13.42177245565726</c:v>
                </c:pt>
                <c:pt idx="93">
                  <c:v>14.376449798084545</c:v>
                </c:pt>
                <c:pt idx="94">
                  <c:v>16.213080990960442</c:v>
                </c:pt>
                <c:pt idx="95">
                  <c:v>17.595647890535908</c:v>
                </c:pt>
                <c:pt idx="96">
                  <c:v>17.346160755508421</c:v>
                </c:pt>
                <c:pt idx="97">
                  <c:v>17.279156083209202</c:v>
                </c:pt>
                <c:pt idx="98">
                  <c:v>17.540756396342477</c:v>
                </c:pt>
                <c:pt idx="99">
                  <c:v>18.008042919777839</c:v>
                </c:pt>
                <c:pt idx="100">
                  <c:v>18.248242183573222</c:v>
                </c:pt>
                <c:pt idx="101">
                  <c:v>18.758579695386928</c:v>
                </c:pt>
                <c:pt idx="102">
                  <c:v>18.520744134869719</c:v>
                </c:pt>
                <c:pt idx="103">
                  <c:v>18.483532504154539</c:v>
                </c:pt>
                <c:pt idx="104">
                  <c:v>18.495926126832874</c:v>
                </c:pt>
                <c:pt idx="105">
                  <c:v>18.718978694829268</c:v>
                </c:pt>
                <c:pt idx="106">
                  <c:v>18.517196191091511</c:v>
                </c:pt>
                <c:pt idx="107">
                  <c:v>18.708196405387529</c:v>
                </c:pt>
                <c:pt idx="108">
                  <c:v>18.531393000266906</c:v>
                </c:pt>
                <c:pt idx="109">
                  <c:v>18.151002424848116</c:v>
                </c:pt>
                <c:pt idx="110">
                  <c:v>17.19948451098081</c:v>
                </c:pt>
                <c:pt idx="111">
                  <c:v>17.097695512754829</c:v>
                </c:pt>
                <c:pt idx="112">
                  <c:v>17.398674268766957</c:v>
                </c:pt>
                <c:pt idx="113">
                  <c:v>17.057502882068921</c:v>
                </c:pt>
                <c:pt idx="114">
                  <c:v>17.07195920752353</c:v>
                </c:pt>
                <c:pt idx="115">
                  <c:v>23.456063738332254</c:v>
                </c:pt>
                <c:pt idx="116">
                  <c:v>36.513502734613418</c:v>
                </c:pt>
                <c:pt idx="117">
                  <c:v>41.250087774271634</c:v>
                </c:pt>
                <c:pt idx="118">
                  <c:v>50.479537934367968</c:v>
                </c:pt>
                <c:pt idx="119">
                  <c:v>55.543000238430061</c:v>
                </c:pt>
                <c:pt idx="120">
                  <c:v>56.476034873134175</c:v>
                </c:pt>
                <c:pt idx="121">
                  <c:v>57.146618575654543</c:v>
                </c:pt>
                <c:pt idx="122">
                  <c:v>54.773285554506437</c:v>
                </c:pt>
                <c:pt idx="123">
                  <c:v>54.903234917383557</c:v>
                </c:pt>
                <c:pt idx="124">
                  <c:v>53.911363028130012</c:v>
                </c:pt>
                <c:pt idx="125">
                  <c:v>53.096205694212998</c:v>
                </c:pt>
                <c:pt idx="126">
                  <c:v>54.10566514614996</c:v>
                </c:pt>
                <c:pt idx="127">
                  <c:v>53.576173566553273</c:v>
                </c:pt>
                <c:pt idx="128">
                  <c:v>54.03795100942034</c:v>
                </c:pt>
                <c:pt idx="129">
                  <c:v>53.426456478546804</c:v>
                </c:pt>
                <c:pt idx="130">
                  <c:v>53.318755190736631</c:v>
                </c:pt>
                <c:pt idx="131">
                  <c:v>53.426456478546804</c:v>
                </c:pt>
                <c:pt idx="132">
                  <c:v>54.981449437082176</c:v>
                </c:pt>
                <c:pt idx="133">
                  <c:v>56.539768972796708</c:v>
                </c:pt>
                <c:pt idx="134">
                  <c:v>62.153108816395566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C6-4156-8BC4-C3F7B055FA90}"/>
            </c:ext>
          </c:extLst>
        </c:ser>
        <c:ser>
          <c:idx val="2"/>
          <c:order val="2"/>
          <c:tx>
            <c:strRef>
              <c:f>'Diferentes médias móveis'!$Y$1</c:f>
              <c:strCache>
                <c:ptCount val="1"/>
                <c:pt idx="0">
                  <c:v>UTS_24h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'Diferentes médias móveis'!$A$2:$A$136</c:f>
              <c:numCache>
                <c:formatCode>m/d/yyyy\ h:mm</c:formatCode>
                <c:ptCount val="135"/>
                <c:pt idx="0">
                  <c:v>46102.577777777777</c:v>
                </c:pt>
                <c:pt idx="1">
                  <c:v>46102.619444444441</c:v>
                </c:pt>
                <c:pt idx="2">
                  <c:v>46102.661111053239</c:v>
                </c:pt>
                <c:pt idx="3">
                  <c:v>46102.702777719911</c:v>
                </c:pt>
                <c:pt idx="4">
                  <c:v>46102.744444386575</c:v>
                </c:pt>
                <c:pt idx="5">
                  <c:v>46102.786111053239</c:v>
                </c:pt>
                <c:pt idx="6">
                  <c:v>46102.828472222223</c:v>
                </c:pt>
                <c:pt idx="7">
                  <c:v>46102.870138888888</c:v>
                </c:pt>
                <c:pt idx="8">
                  <c:v>46102.911805439813</c:v>
                </c:pt>
                <c:pt idx="9">
                  <c:v>46102.953472048612</c:v>
                </c:pt>
                <c:pt idx="10">
                  <c:v>46102.99513865741</c:v>
                </c:pt>
                <c:pt idx="11">
                  <c:v>46103.036805266202</c:v>
                </c:pt>
                <c:pt idx="12">
                  <c:v>46103.078471875</c:v>
                </c:pt>
                <c:pt idx="13">
                  <c:v>46103.120138483799</c:v>
                </c:pt>
                <c:pt idx="14">
                  <c:v>46103.16180509259</c:v>
                </c:pt>
                <c:pt idx="15">
                  <c:v>46103.203471701388</c:v>
                </c:pt>
                <c:pt idx="16">
                  <c:v>46103.245138310187</c:v>
                </c:pt>
                <c:pt idx="17">
                  <c:v>46103.286804918978</c:v>
                </c:pt>
                <c:pt idx="18">
                  <c:v>46103.328471527777</c:v>
                </c:pt>
                <c:pt idx="19">
                  <c:v>46103.370138136575</c:v>
                </c:pt>
                <c:pt idx="20">
                  <c:v>46103.411804745374</c:v>
                </c:pt>
                <c:pt idx="21">
                  <c:v>46103.453471354165</c:v>
                </c:pt>
                <c:pt idx="22">
                  <c:v>46103.495137962964</c:v>
                </c:pt>
                <c:pt idx="23">
                  <c:v>46103.536804571762</c:v>
                </c:pt>
                <c:pt idx="24">
                  <c:v>46103.578471180554</c:v>
                </c:pt>
                <c:pt idx="25">
                  <c:v>46103.620137789352</c:v>
                </c:pt>
                <c:pt idx="26">
                  <c:v>46103.661804398151</c:v>
                </c:pt>
                <c:pt idx="27">
                  <c:v>46103.703471006942</c:v>
                </c:pt>
                <c:pt idx="28">
                  <c:v>46103.745137615741</c:v>
                </c:pt>
                <c:pt idx="29">
                  <c:v>46103.786804224539</c:v>
                </c:pt>
                <c:pt idx="30">
                  <c:v>46103.82916666667</c:v>
                </c:pt>
                <c:pt idx="31">
                  <c:v>46103.870833333334</c:v>
                </c:pt>
                <c:pt idx="32">
                  <c:v>46103.912499999999</c:v>
                </c:pt>
                <c:pt idx="33">
                  <c:v>46103.95416666667</c:v>
                </c:pt>
                <c:pt idx="34">
                  <c:v>46103.995833333334</c:v>
                </c:pt>
                <c:pt idx="35">
                  <c:v>46104.036805555559</c:v>
                </c:pt>
                <c:pt idx="36">
                  <c:v>46104.078472222223</c:v>
                </c:pt>
                <c:pt idx="37">
                  <c:v>46104.120138888888</c:v>
                </c:pt>
                <c:pt idx="38">
                  <c:v>46104.161805555559</c:v>
                </c:pt>
                <c:pt idx="39">
                  <c:v>46104.203472222223</c:v>
                </c:pt>
                <c:pt idx="40">
                  <c:v>46104.245138888888</c:v>
                </c:pt>
                <c:pt idx="41">
                  <c:v>46104.286805555559</c:v>
                </c:pt>
                <c:pt idx="42">
                  <c:v>46104.328472222223</c:v>
                </c:pt>
                <c:pt idx="43">
                  <c:v>46104.370833333334</c:v>
                </c:pt>
                <c:pt idx="44">
                  <c:v>46104.412499999999</c:v>
                </c:pt>
                <c:pt idx="45">
                  <c:v>46104.454166550924</c:v>
                </c:pt>
                <c:pt idx="46">
                  <c:v>46104.495833159723</c:v>
                </c:pt>
                <c:pt idx="47">
                  <c:v>46104.537499768521</c:v>
                </c:pt>
                <c:pt idx="48">
                  <c:v>46104.579166377313</c:v>
                </c:pt>
                <c:pt idx="49">
                  <c:v>46104.620832986111</c:v>
                </c:pt>
                <c:pt idx="50">
                  <c:v>46104.66249959491</c:v>
                </c:pt>
                <c:pt idx="51">
                  <c:v>46104.704166203701</c:v>
                </c:pt>
                <c:pt idx="52">
                  <c:v>46104.745832812499</c:v>
                </c:pt>
                <c:pt idx="53">
                  <c:v>46104.787499421298</c:v>
                </c:pt>
                <c:pt idx="54">
                  <c:v>46104.829166030089</c:v>
                </c:pt>
                <c:pt idx="55">
                  <c:v>46104.870832638888</c:v>
                </c:pt>
                <c:pt idx="56">
                  <c:v>46104.912499247686</c:v>
                </c:pt>
                <c:pt idx="57">
                  <c:v>46104.954165856485</c:v>
                </c:pt>
                <c:pt idx="58">
                  <c:v>46104.995832465276</c:v>
                </c:pt>
                <c:pt idx="59">
                  <c:v>46105.037499999999</c:v>
                </c:pt>
                <c:pt idx="60">
                  <c:v>46105.07916666667</c:v>
                </c:pt>
                <c:pt idx="61">
                  <c:v>46105.120833391207</c:v>
                </c:pt>
                <c:pt idx="62">
                  <c:v>46105.162500115737</c:v>
                </c:pt>
                <c:pt idx="63">
                  <c:v>46105.204166840274</c:v>
                </c:pt>
                <c:pt idx="64">
                  <c:v>46105.245833564812</c:v>
                </c:pt>
                <c:pt idx="65">
                  <c:v>46105.287500289349</c:v>
                </c:pt>
                <c:pt idx="66">
                  <c:v>46105.329861111109</c:v>
                </c:pt>
                <c:pt idx="67">
                  <c:v>46105.371527777781</c:v>
                </c:pt>
                <c:pt idx="68">
                  <c:v>46105.413194502318</c:v>
                </c:pt>
                <c:pt idx="69">
                  <c:v>46105.454861226855</c:v>
                </c:pt>
                <c:pt idx="70">
                  <c:v>46105.495833912035</c:v>
                </c:pt>
                <c:pt idx="71">
                  <c:v>46105.537500636572</c:v>
                </c:pt>
                <c:pt idx="72">
                  <c:v>46105.579167361109</c:v>
                </c:pt>
                <c:pt idx="73">
                  <c:v>46105.620834085646</c:v>
                </c:pt>
                <c:pt idx="74">
                  <c:v>46105.662500810184</c:v>
                </c:pt>
                <c:pt idx="75">
                  <c:v>46105.704167476855</c:v>
                </c:pt>
                <c:pt idx="76">
                  <c:v>46105.745834201392</c:v>
                </c:pt>
                <c:pt idx="77">
                  <c:v>46105.788194444445</c:v>
                </c:pt>
                <c:pt idx="78">
                  <c:v>46105.829861111109</c:v>
                </c:pt>
                <c:pt idx="79">
                  <c:v>46105.871527662035</c:v>
                </c:pt>
                <c:pt idx="80">
                  <c:v>46105.913194270834</c:v>
                </c:pt>
                <c:pt idx="81">
                  <c:v>46105.954860879632</c:v>
                </c:pt>
                <c:pt idx="82">
                  <c:v>46105.996527488423</c:v>
                </c:pt>
                <c:pt idx="83">
                  <c:v>46106.038194097222</c:v>
                </c:pt>
                <c:pt idx="84">
                  <c:v>46106.079860706021</c:v>
                </c:pt>
                <c:pt idx="85">
                  <c:v>46106.121527314812</c:v>
                </c:pt>
                <c:pt idx="86">
                  <c:v>46106.16319392361</c:v>
                </c:pt>
                <c:pt idx="87">
                  <c:v>46106.20416666667</c:v>
                </c:pt>
                <c:pt idx="88">
                  <c:v>46106.245833333334</c:v>
                </c:pt>
                <c:pt idx="89">
                  <c:v>46106.287499999999</c:v>
                </c:pt>
                <c:pt idx="90">
                  <c:v>46106.329861111109</c:v>
                </c:pt>
                <c:pt idx="91">
                  <c:v>46106.371527777781</c:v>
                </c:pt>
                <c:pt idx="92">
                  <c:v>46106.413194502318</c:v>
                </c:pt>
                <c:pt idx="93">
                  <c:v>46106.454861226855</c:v>
                </c:pt>
                <c:pt idx="94">
                  <c:v>46106.496527951385</c:v>
                </c:pt>
                <c:pt idx="95">
                  <c:v>46106.538194675923</c:v>
                </c:pt>
                <c:pt idx="96">
                  <c:v>46106.579861342594</c:v>
                </c:pt>
                <c:pt idx="97">
                  <c:v>46106.621528067131</c:v>
                </c:pt>
                <c:pt idx="98">
                  <c:v>46106.663194791669</c:v>
                </c:pt>
                <c:pt idx="99">
                  <c:v>46106.704861516206</c:v>
                </c:pt>
                <c:pt idx="100">
                  <c:v>46106.746528240743</c:v>
                </c:pt>
                <c:pt idx="101">
                  <c:v>46106.788888888892</c:v>
                </c:pt>
                <c:pt idx="102">
                  <c:v>46106.830555555556</c:v>
                </c:pt>
                <c:pt idx="103">
                  <c:v>46106.87222222222</c:v>
                </c:pt>
                <c:pt idx="104">
                  <c:v>46106.913194444445</c:v>
                </c:pt>
                <c:pt idx="105">
                  <c:v>46106.954861111109</c:v>
                </c:pt>
                <c:pt idx="106">
                  <c:v>46106.996527662035</c:v>
                </c:pt>
                <c:pt idx="107">
                  <c:v>46107.038194270834</c:v>
                </c:pt>
                <c:pt idx="108">
                  <c:v>46107.079860937498</c:v>
                </c:pt>
                <c:pt idx="109">
                  <c:v>46107.121527604169</c:v>
                </c:pt>
                <c:pt idx="110">
                  <c:v>46107.163194270834</c:v>
                </c:pt>
                <c:pt idx="111">
                  <c:v>46107.204860937498</c:v>
                </c:pt>
                <c:pt idx="112">
                  <c:v>46107.246527604169</c:v>
                </c:pt>
                <c:pt idx="113">
                  <c:v>46107.288194270834</c:v>
                </c:pt>
                <c:pt idx="114">
                  <c:v>46107.330555555556</c:v>
                </c:pt>
                <c:pt idx="115">
                  <c:v>46107.37222222222</c:v>
                </c:pt>
                <c:pt idx="116">
                  <c:v>46107.413888773146</c:v>
                </c:pt>
                <c:pt idx="117">
                  <c:v>46107.455555381945</c:v>
                </c:pt>
                <c:pt idx="118">
                  <c:v>46107.497221990743</c:v>
                </c:pt>
                <c:pt idx="119">
                  <c:v>46107.538888599534</c:v>
                </c:pt>
                <c:pt idx="120">
                  <c:v>46107.580555092594</c:v>
                </c:pt>
                <c:pt idx="121">
                  <c:v>46107.621527777781</c:v>
                </c:pt>
                <c:pt idx="122">
                  <c:v>46107.663194444445</c:v>
                </c:pt>
                <c:pt idx="123">
                  <c:v>46107.704861111109</c:v>
                </c:pt>
                <c:pt idx="124">
                  <c:v>46107.746527662035</c:v>
                </c:pt>
                <c:pt idx="125">
                  <c:v>46107.788194270834</c:v>
                </c:pt>
                <c:pt idx="126">
                  <c:v>46107.830555092594</c:v>
                </c:pt>
                <c:pt idx="127">
                  <c:v>46107.872221817132</c:v>
                </c:pt>
                <c:pt idx="128">
                  <c:v>46107.913888541669</c:v>
                </c:pt>
                <c:pt idx="129">
                  <c:v>46107.955555266206</c:v>
                </c:pt>
                <c:pt idx="130">
                  <c:v>46107.997221990743</c:v>
                </c:pt>
                <c:pt idx="131">
                  <c:v>46108.03888871528</c:v>
                </c:pt>
                <c:pt idx="132">
                  <c:v>46108.080555439818</c:v>
                </c:pt>
                <c:pt idx="133">
                  <c:v>46108.12222222222</c:v>
                </c:pt>
                <c:pt idx="134">
                  <c:v>46108.163888888892</c:v>
                </c:pt>
              </c:numCache>
            </c:numRef>
          </c:xVal>
          <c:yVal>
            <c:numRef>
              <c:f>'Diferentes médias móveis'!$Y$2:$Y$136</c:f>
              <c:numCache>
                <c:formatCode>General</c:formatCode>
                <c:ptCount val="135"/>
                <c:pt idx="23">
                  <c:v>-29.042590413763751</c:v>
                </c:pt>
                <c:pt idx="24">
                  <c:v>-38.237421344208713</c:v>
                </c:pt>
                <c:pt idx="25">
                  <c:v>-41.778663198002633</c:v>
                </c:pt>
                <c:pt idx="26">
                  <c:v>-41.698068447359013</c:v>
                </c:pt>
                <c:pt idx="27">
                  <c:v>-41.320205199789449</c:v>
                </c:pt>
                <c:pt idx="28">
                  <c:v>-39.171608665762207</c:v>
                </c:pt>
                <c:pt idx="29">
                  <c:v>-38.065351558700748</c:v>
                </c:pt>
                <c:pt idx="30">
                  <c:v>-37.539382461875299</c:v>
                </c:pt>
                <c:pt idx="31">
                  <c:v>-36.894560387454121</c:v>
                </c:pt>
                <c:pt idx="32">
                  <c:v>-36.411230325043839</c:v>
                </c:pt>
                <c:pt idx="33">
                  <c:v>-36.099880151861576</c:v>
                </c:pt>
                <c:pt idx="34">
                  <c:v>-35.7796744250983</c:v>
                </c:pt>
                <c:pt idx="35">
                  <c:v>-35.802666247318768</c:v>
                </c:pt>
                <c:pt idx="36">
                  <c:v>-35.803841738479505</c:v>
                </c:pt>
                <c:pt idx="37">
                  <c:v>-35.905009080478159</c:v>
                </c:pt>
                <c:pt idx="38">
                  <c:v>-35.919377482718211</c:v>
                </c:pt>
                <c:pt idx="39">
                  <c:v>-35.598759989865805</c:v>
                </c:pt>
                <c:pt idx="40">
                  <c:v>-35.581305263059619</c:v>
                </c:pt>
                <c:pt idx="41">
                  <c:v>-35.524042605806784</c:v>
                </c:pt>
                <c:pt idx="42">
                  <c:v>-36.311266637706453</c:v>
                </c:pt>
                <c:pt idx="43">
                  <c:v>-38.489114507973319</c:v>
                </c:pt>
                <c:pt idx="44">
                  <c:v>-43.715263270023691</c:v>
                </c:pt>
                <c:pt idx="45">
                  <c:v>-46.797545386130864</c:v>
                </c:pt>
                <c:pt idx="46">
                  <c:v>-51.3725273264821</c:v>
                </c:pt>
                <c:pt idx="47">
                  <c:v>-54.3093126369765</c:v>
                </c:pt>
                <c:pt idx="48">
                  <c:v>-53.135201330414276</c:v>
                </c:pt>
                <c:pt idx="49">
                  <c:v>-51.340243180914705</c:v>
                </c:pt>
                <c:pt idx="50">
                  <c:v>-49.67497618041935</c:v>
                </c:pt>
                <c:pt idx="51">
                  <c:v>-48.405389034398127</c:v>
                </c:pt>
                <c:pt idx="52">
                  <c:v>-46.666166579190971</c:v>
                </c:pt>
                <c:pt idx="53">
                  <c:v>-45.317538108110497</c:v>
                </c:pt>
                <c:pt idx="54">
                  <c:v>-44.695280882061624</c:v>
                </c:pt>
                <c:pt idx="55">
                  <c:v>-44.484361733829857</c:v>
                </c:pt>
                <c:pt idx="56">
                  <c:v>-44.074024475553308</c:v>
                </c:pt>
                <c:pt idx="57">
                  <c:v>-44.07546695565248</c:v>
                </c:pt>
                <c:pt idx="58">
                  <c:v>-43.955307849281574</c:v>
                </c:pt>
                <c:pt idx="59">
                  <c:v>-43.754901588450466</c:v>
                </c:pt>
                <c:pt idx="60">
                  <c:v>-43.838503820815312</c:v>
                </c:pt>
                <c:pt idx="61">
                  <c:v>-43.793079197485426</c:v>
                </c:pt>
                <c:pt idx="62">
                  <c:v>-43.744163470401993</c:v>
                </c:pt>
                <c:pt idx="63">
                  <c:v>-43.705561516020481</c:v>
                </c:pt>
                <c:pt idx="64">
                  <c:v>-43.76314892430149</c:v>
                </c:pt>
                <c:pt idx="65">
                  <c:v>-43.710434970034214</c:v>
                </c:pt>
                <c:pt idx="66">
                  <c:v>-44.322876204020119</c:v>
                </c:pt>
                <c:pt idx="67">
                  <c:v>-44.492334060181932</c:v>
                </c:pt>
                <c:pt idx="68">
                  <c:v>-42.10343652148282</c:v>
                </c:pt>
                <c:pt idx="69">
                  <c:v>-41.827903318392131</c:v>
                </c:pt>
                <c:pt idx="70">
                  <c:v>-38.583556218668839</c:v>
                </c:pt>
                <c:pt idx="71">
                  <c:v>-30.405974715164959</c:v>
                </c:pt>
                <c:pt idx="72">
                  <c:v>15.83855621534355</c:v>
                </c:pt>
                <c:pt idx="73">
                  <c:v>19.08534318577162</c:v>
                </c:pt>
                <c:pt idx="74">
                  <c:v>17.801390336451981</c:v>
                </c:pt>
                <c:pt idx="75">
                  <c:v>18.320749753860319</c:v>
                </c:pt>
                <c:pt idx="76">
                  <c:v>19.851319724378779</c:v>
                </c:pt>
                <c:pt idx="77">
                  <c:v>20.622070116734832</c:v>
                </c:pt>
                <c:pt idx="78">
                  <c:v>21.639104941237918</c:v>
                </c:pt>
                <c:pt idx="79">
                  <c:v>21.816510821912193</c:v>
                </c:pt>
                <c:pt idx="80">
                  <c:v>21.767883540529269</c:v>
                </c:pt>
                <c:pt idx="81">
                  <c:v>22.24058794062875</c:v>
                </c:pt>
                <c:pt idx="82">
                  <c:v>22.547922481414631</c:v>
                </c:pt>
                <c:pt idx="83">
                  <c:v>22.24179008998858</c:v>
                </c:pt>
                <c:pt idx="84">
                  <c:v>22.420256770724869</c:v>
                </c:pt>
                <c:pt idx="85">
                  <c:v>22.030113638561922</c:v>
                </c:pt>
                <c:pt idx="86">
                  <c:v>21.948666669037483</c:v>
                </c:pt>
                <c:pt idx="87">
                  <c:v>21.700583386549948</c:v>
                </c:pt>
                <c:pt idx="88">
                  <c:v>22.202170391154141</c:v>
                </c:pt>
                <c:pt idx="89">
                  <c:v>22.287368941487578</c:v>
                </c:pt>
                <c:pt idx="90">
                  <c:v>21.236320319520068</c:v>
                </c:pt>
                <c:pt idx="91">
                  <c:v>15.61856154576056</c:v>
                </c:pt>
                <c:pt idx="92">
                  <c:v>-26.575812948111238</c:v>
                </c:pt>
                <c:pt idx="93">
                  <c:v>-26.167192993768811</c:v>
                </c:pt>
                <c:pt idx="94">
                  <c:v>13.277434266573229</c:v>
                </c:pt>
                <c:pt idx="95">
                  <c:v>14.248572322585881</c:v>
                </c:pt>
                <c:pt idx="96">
                  <c:v>13.799211114976858</c:v>
                </c:pt>
                <c:pt idx="97">
                  <c:v>13.717592571834942</c:v>
                </c:pt>
                <c:pt idx="98">
                  <c:v>13.695127864851738</c:v>
                </c:pt>
                <c:pt idx="99">
                  <c:v>14.252065675961989</c:v>
                </c:pt>
                <c:pt idx="100">
                  <c:v>14.67377352889676</c:v>
                </c:pt>
                <c:pt idx="101">
                  <c:v>15.305591664332791</c:v>
                </c:pt>
                <c:pt idx="102">
                  <c:v>15.347408064679369</c:v>
                </c:pt>
                <c:pt idx="103">
                  <c:v>15.555213002957469</c:v>
                </c:pt>
                <c:pt idx="104">
                  <c:v>15.5853524808209</c:v>
                </c:pt>
                <c:pt idx="105">
                  <c:v>15.890347519222569</c:v>
                </c:pt>
                <c:pt idx="106">
                  <c:v>15.793185698923201</c:v>
                </c:pt>
                <c:pt idx="107">
                  <c:v>15.956774505128879</c:v>
                </c:pt>
                <c:pt idx="108">
                  <c:v>15.876771158312792</c:v>
                </c:pt>
                <c:pt idx="109">
                  <c:v>15.521066096349651</c:v>
                </c:pt>
                <c:pt idx="110">
                  <c:v>14.86121027072927</c:v>
                </c:pt>
                <c:pt idx="111">
                  <c:v>14.41410998759447</c:v>
                </c:pt>
                <c:pt idx="112">
                  <c:v>14.652934633435949</c:v>
                </c:pt>
                <c:pt idx="113">
                  <c:v>14.55336201812967</c:v>
                </c:pt>
                <c:pt idx="114">
                  <c:v>14.93696398691047</c:v>
                </c:pt>
                <c:pt idx="115">
                  <c:v>19.549735279079609</c:v>
                </c:pt>
                <c:pt idx="116">
                  <c:v>27.93393704433414</c:v>
                </c:pt>
                <c:pt idx="117">
                  <c:v>30.740591084434239</c:v>
                </c:pt>
                <c:pt idx="118">
                  <c:v>36.174184845485556</c:v>
                </c:pt>
                <c:pt idx="119">
                  <c:v>39.05711027044795</c:v>
                </c:pt>
                <c:pt idx="120">
                  <c:v>38.994476519751942</c:v>
                </c:pt>
                <c:pt idx="121">
                  <c:v>39.346512661968951</c:v>
                </c:pt>
                <c:pt idx="122">
                  <c:v>38.215441517518002</c:v>
                </c:pt>
                <c:pt idx="123">
                  <c:v>40.159028081901049</c:v>
                </c:pt>
                <c:pt idx="124">
                  <c:v>39.390083829755</c:v>
                </c:pt>
                <c:pt idx="125">
                  <c:v>37.153297446258371</c:v>
                </c:pt>
                <c:pt idx="126">
                  <c:v>38.076093798645552</c:v>
                </c:pt>
                <c:pt idx="127">
                  <c:v>37.917033019635191</c:v>
                </c:pt>
                <c:pt idx="128">
                  <c:v>38.075720438512676</c:v>
                </c:pt>
                <c:pt idx="129">
                  <c:v>38.454433599054447</c:v>
                </c:pt>
                <c:pt idx="130">
                  <c:v>39.5550953270292</c:v>
                </c:pt>
                <c:pt idx="131">
                  <c:v>40.120829214531099</c:v>
                </c:pt>
                <c:pt idx="132">
                  <c:v>41.59433546046813</c:v>
                </c:pt>
                <c:pt idx="133">
                  <c:v>42.401284305678189</c:v>
                </c:pt>
                <c:pt idx="134">
                  <c:v>45.43052499851067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C6-4156-8BC4-C3F7B055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82400"/>
        <c:axId val="846881440"/>
      </c:scatterChart>
      <c:valAx>
        <c:axId val="83068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0637359"/>
        <c:crosses val="autoZero"/>
        <c:crossBetween val="midCat"/>
      </c:valAx>
      <c:valAx>
        <c:axId val="830637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0688335"/>
        <c:crosses val="autoZero"/>
        <c:crossBetween val="midCat"/>
      </c:valAx>
      <c:valAx>
        <c:axId val="846881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46882400"/>
        <c:crosses val="max"/>
        <c:crossBetween val="midCat"/>
      </c:valAx>
      <c:valAx>
        <c:axId val="84688240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84688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Média móvel 24h</a:t>
            </a:r>
            <a:r>
              <a:rPr lang="pt-PT" baseline="0"/>
              <a:t> CAS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2.7859762570383608E-2"/>
          <c:y val="4.8463851582045983E-2"/>
          <c:w val="0.94157482135896131"/>
          <c:h val="0.9072730398598853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'Média móvel CAS 24h'!$A$28:$A$136</c:f>
              <c:numCache>
                <c:formatCode>m/d/yyyy\ h:mm</c:formatCode>
                <c:ptCount val="109"/>
                <c:pt idx="0">
                  <c:v>46103.661804398151</c:v>
                </c:pt>
                <c:pt idx="1">
                  <c:v>46103.703471006942</c:v>
                </c:pt>
                <c:pt idx="2">
                  <c:v>46103.745137615741</c:v>
                </c:pt>
                <c:pt idx="3">
                  <c:v>46103.786804224539</c:v>
                </c:pt>
                <c:pt idx="4">
                  <c:v>46103.82916666667</c:v>
                </c:pt>
                <c:pt idx="5">
                  <c:v>46103.870833333334</c:v>
                </c:pt>
                <c:pt idx="6">
                  <c:v>46103.912499999999</c:v>
                </c:pt>
                <c:pt idx="7">
                  <c:v>46103.95416666667</c:v>
                </c:pt>
                <c:pt idx="8">
                  <c:v>46103.995833333334</c:v>
                </c:pt>
                <c:pt idx="9">
                  <c:v>46104.036805555559</c:v>
                </c:pt>
                <c:pt idx="10">
                  <c:v>46104.078472222223</c:v>
                </c:pt>
                <c:pt idx="11">
                  <c:v>46104.120138888888</c:v>
                </c:pt>
                <c:pt idx="12">
                  <c:v>46104.161805555559</c:v>
                </c:pt>
                <c:pt idx="13">
                  <c:v>46104.203472222223</c:v>
                </c:pt>
                <c:pt idx="14">
                  <c:v>46104.245138888888</c:v>
                </c:pt>
                <c:pt idx="15">
                  <c:v>46104.286805555559</c:v>
                </c:pt>
                <c:pt idx="16">
                  <c:v>46104.328472222223</c:v>
                </c:pt>
                <c:pt idx="17">
                  <c:v>46104.370833333334</c:v>
                </c:pt>
                <c:pt idx="18">
                  <c:v>46104.412499999999</c:v>
                </c:pt>
                <c:pt idx="19">
                  <c:v>46104.454166550924</c:v>
                </c:pt>
                <c:pt idx="20">
                  <c:v>46104.495833159723</c:v>
                </c:pt>
                <c:pt idx="21">
                  <c:v>46104.537499768521</c:v>
                </c:pt>
                <c:pt idx="22">
                  <c:v>46104.579166377313</c:v>
                </c:pt>
                <c:pt idx="23">
                  <c:v>46104.620832986111</c:v>
                </c:pt>
                <c:pt idx="24">
                  <c:v>46104.66249959491</c:v>
                </c:pt>
                <c:pt idx="25">
                  <c:v>46104.704166203701</c:v>
                </c:pt>
                <c:pt idx="26">
                  <c:v>46104.745832812499</c:v>
                </c:pt>
                <c:pt idx="27">
                  <c:v>46104.787499421298</c:v>
                </c:pt>
                <c:pt idx="28">
                  <c:v>46104.829166030089</c:v>
                </c:pt>
                <c:pt idx="29">
                  <c:v>46104.870832638888</c:v>
                </c:pt>
                <c:pt idx="30">
                  <c:v>46104.912499247686</c:v>
                </c:pt>
                <c:pt idx="31">
                  <c:v>46104.954165856485</c:v>
                </c:pt>
                <c:pt idx="32">
                  <c:v>46104.995832465276</c:v>
                </c:pt>
                <c:pt idx="33">
                  <c:v>46105.037499999999</c:v>
                </c:pt>
                <c:pt idx="34">
                  <c:v>46105.07916666667</c:v>
                </c:pt>
                <c:pt idx="35">
                  <c:v>46105.120833391207</c:v>
                </c:pt>
                <c:pt idx="36">
                  <c:v>46105.162500115737</c:v>
                </c:pt>
                <c:pt idx="37">
                  <c:v>46105.204166840274</c:v>
                </c:pt>
                <c:pt idx="38">
                  <c:v>46105.245833564812</c:v>
                </c:pt>
                <c:pt idx="39">
                  <c:v>46105.287500289349</c:v>
                </c:pt>
                <c:pt idx="40">
                  <c:v>46105.329861111109</c:v>
                </c:pt>
                <c:pt idx="41">
                  <c:v>46105.371527777781</c:v>
                </c:pt>
                <c:pt idx="42">
                  <c:v>46105.413194502318</c:v>
                </c:pt>
                <c:pt idx="43">
                  <c:v>46105.454861226855</c:v>
                </c:pt>
                <c:pt idx="44">
                  <c:v>46105.495833912035</c:v>
                </c:pt>
                <c:pt idx="45">
                  <c:v>46105.537500636572</c:v>
                </c:pt>
                <c:pt idx="46">
                  <c:v>46105.579167361109</c:v>
                </c:pt>
                <c:pt idx="47">
                  <c:v>46105.620834085646</c:v>
                </c:pt>
                <c:pt idx="48">
                  <c:v>46105.662500810184</c:v>
                </c:pt>
                <c:pt idx="49">
                  <c:v>46105.704167476855</c:v>
                </c:pt>
                <c:pt idx="50">
                  <c:v>46105.745834201392</c:v>
                </c:pt>
                <c:pt idx="51">
                  <c:v>46105.788194444445</c:v>
                </c:pt>
                <c:pt idx="52">
                  <c:v>46105.829861111109</c:v>
                </c:pt>
                <c:pt idx="53">
                  <c:v>46105.871527662035</c:v>
                </c:pt>
                <c:pt idx="54">
                  <c:v>46105.913194270834</c:v>
                </c:pt>
                <c:pt idx="55">
                  <c:v>46105.954860879632</c:v>
                </c:pt>
                <c:pt idx="56">
                  <c:v>46105.996527488423</c:v>
                </c:pt>
                <c:pt idx="57">
                  <c:v>46106.038194097222</c:v>
                </c:pt>
                <c:pt idx="58">
                  <c:v>46106.079860706021</c:v>
                </c:pt>
                <c:pt idx="59">
                  <c:v>46106.121527314812</c:v>
                </c:pt>
                <c:pt idx="60">
                  <c:v>46106.16319392361</c:v>
                </c:pt>
                <c:pt idx="61">
                  <c:v>46106.20416666667</c:v>
                </c:pt>
                <c:pt idx="62">
                  <c:v>46106.245833333334</c:v>
                </c:pt>
                <c:pt idx="63">
                  <c:v>46106.287499999999</c:v>
                </c:pt>
                <c:pt idx="64">
                  <c:v>46106.329861111109</c:v>
                </c:pt>
                <c:pt idx="65">
                  <c:v>46106.371527777781</c:v>
                </c:pt>
                <c:pt idx="66">
                  <c:v>46106.413194502318</c:v>
                </c:pt>
                <c:pt idx="67">
                  <c:v>46106.454861226855</c:v>
                </c:pt>
                <c:pt idx="68">
                  <c:v>46106.496527951385</c:v>
                </c:pt>
                <c:pt idx="69">
                  <c:v>46106.538194675923</c:v>
                </c:pt>
                <c:pt idx="70">
                  <c:v>46106.579861342594</c:v>
                </c:pt>
                <c:pt idx="71">
                  <c:v>46106.621528067131</c:v>
                </c:pt>
                <c:pt idx="72">
                  <c:v>46106.663194791669</c:v>
                </c:pt>
                <c:pt idx="73">
                  <c:v>46106.704861516206</c:v>
                </c:pt>
                <c:pt idx="74">
                  <c:v>46106.746528240743</c:v>
                </c:pt>
                <c:pt idx="75">
                  <c:v>46106.788888888892</c:v>
                </c:pt>
                <c:pt idx="76">
                  <c:v>46106.830555555556</c:v>
                </c:pt>
                <c:pt idx="77">
                  <c:v>46106.87222222222</c:v>
                </c:pt>
                <c:pt idx="78">
                  <c:v>46106.913194444445</c:v>
                </c:pt>
                <c:pt idx="79">
                  <c:v>46106.954861111109</c:v>
                </c:pt>
                <c:pt idx="80">
                  <c:v>46106.996527662035</c:v>
                </c:pt>
                <c:pt idx="81">
                  <c:v>46107.038194270834</c:v>
                </c:pt>
                <c:pt idx="82">
                  <c:v>46107.079860937498</c:v>
                </c:pt>
                <c:pt idx="83">
                  <c:v>46107.121527604169</c:v>
                </c:pt>
                <c:pt idx="84">
                  <c:v>46107.163194270834</c:v>
                </c:pt>
                <c:pt idx="85">
                  <c:v>46107.204860937498</c:v>
                </c:pt>
                <c:pt idx="86">
                  <c:v>46107.246527604169</c:v>
                </c:pt>
                <c:pt idx="87">
                  <c:v>46107.288194270834</c:v>
                </c:pt>
                <c:pt idx="88">
                  <c:v>46107.330555555556</c:v>
                </c:pt>
                <c:pt idx="89">
                  <c:v>46107.37222222222</c:v>
                </c:pt>
                <c:pt idx="90">
                  <c:v>46107.413888773146</c:v>
                </c:pt>
                <c:pt idx="91">
                  <c:v>46107.455555381945</c:v>
                </c:pt>
                <c:pt idx="92">
                  <c:v>46107.497221990743</c:v>
                </c:pt>
                <c:pt idx="93">
                  <c:v>46107.538888599534</c:v>
                </c:pt>
                <c:pt idx="94">
                  <c:v>46107.580555092594</c:v>
                </c:pt>
                <c:pt idx="95">
                  <c:v>46107.621527777781</c:v>
                </c:pt>
                <c:pt idx="96">
                  <c:v>46107.663194444445</c:v>
                </c:pt>
                <c:pt idx="97">
                  <c:v>46107.704861111109</c:v>
                </c:pt>
                <c:pt idx="98">
                  <c:v>46107.746527662035</c:v>
                </c:pt>
                <c:pt idx="99">
                  <c:v>46107.788194270834</c:v>
                </c:pt>
                <c:pt idx="100">
                  <c:v>46107.830555092594</c:v>
                </c:pt>
                <c:pt idx="101">
                  <c:v>46107.872221817132</c:v>
                </c:pt>
                <c:pt idx="102">
                  <c:v>46107.913888541669</c:v>
                </c:pt>
                <c:pt idx="103">
                  <c:v>46107.955555266206</c:v>
                </c:pt>
                <c:pt idx="104">
                  <c:v>46107.997221990743</c:v>
                </c:pt>
                <c:pt idx="105">
                  <c:v>46108.03888871528</c:v>
                </c:pt>
                <c:pt idx="106">
                  <c:v>46108.080555439818</c:v>
                </c:pt>
                <c:pt idx="107">
                  <c:v>46108.12222222222</c:v>
                </c:pt>
                <c:pt idx="108">
                  <c:v>46108.163888888892</c:v>
                </c:pt>
              </c:numCache>
            </c:numRef>
          </c:xVal>
          <c:yVal>
            <c:numRef>
              <c:f>'Média móvel CAS 24h'!$G$28:$G$136</c:f>
              <c:numCache>
                <c:formatCode>General</c:formatCode>
                <c:ptCount val="109"/>
                <c:pt idx="0">
                  <c:v>70.48</c:v>
                </c:pt>
                <c:pt idx="1">
                  <c:v>70.834800000000001</c:v>
                </c:pt>
                <c:pt idx="2">
                  <c:v>71.116399999999999</c:v>
                </c:pt>
                <c:pt idx="3">
                  <c:v>72.151200000000003</c:v>
                </c:pt>
                <c:pt idx="4">
                  <c:v>72.881599999999992</c:v>
                </c:pt>
                <c:pt idx="5">
                  <c:v>73.598399999999998</c:v>
                </c:pt>
                <c:pt idx="6">
                  <c:v>74.28479999999999</c:v>
                </c:pt>
                <c:pt idx="7">
                  <c:v>80.256799999999998</c:v>
                </c:pt>
                <c:pt idx="8">
                  <c:v>80.305599999999998</c:v>
                </c:pt>
                <c:pt idx="9">
                  <c:v>81.141599999999997</c:v>
                </c:pt>
                <c:pt idx="10">
                  <c:v>81.4816</c:v>
                </c:pt>
                <c:pt idx="11">
                  <c:v>75.310799999999986</c:v>
                </c:pt>
                <c:pt idx="12">
                  <c:v>68.692399999999992</c:v>
                </c:pt>
                <c:pt idx="13">
                  <c:v>67.31519999999999</c:v>
                </c:pt>
                <c:pt idx="14">
                  <c:v>74.724799999999988</c:v>
                </c:pt>
                <c:pt idx="15">
                  <c:v>68.113599999999991</c:v>
                </c:pt>
                <c:pt idx="16">
                  <c:v>69.579599999999985</c:v>
                </c:pt>
                <c:pt idx="17">
                  <c:v>59.397199999999984</c:v>
                </c:pt>
                <c:pt idx="18">
                  <c:v>50.312799999999989</c:v>
                </c:pt>
                <c:pt idx="19">
                  <c:v>44.589599999999997</c:v>
                </c:pt>
                <c:pt idx="20">
                  <c:v>43.668400000000013</c:v>
                </c:pt>
                <c:pt idx="21">
                  <c:v>43.378</c:v>
                </c:pt>
                <c:pt idx="22">
                  <c:v>43.374399999999994</c:v>
                </c:pt>
                <c:pt idx="23">
                  <c:v>44.194399999999995</c:v>
                </c:pt>
                <c:pt idx="24">
                  <c:v>46.474399999999996</c:v>
                </c:pt>
                <c:pt idx="25">
                  <c:v>49.831999999999987</c:v>
                </c:pt>
                <c:pt idx="26">
                  <c:v>54.539200000000001</c:v>
                </c:pt>
                <c:pt idx="27">
                  <c:v>56.765999999999991</c:v>
                </c:pt>
                <c:pt idx="28">
                  <c:v>57.4084</c:v>
                </c:pt>
                <c:pt idx="29">
                  <c:v>57.451600000000006</c:v>
                </c:pt>
                <c:pt idx="30">
                  <c:v>63.622799999999998</c:v>
                </c:pt>
                <c:pt idx="31">
                  <c:v>63.271599999999999</c:v>
                </c:pt>
                <c:pt idx="32">
                  <c:v>59.343999999999994</c:v>
                </c:pt>
                <c:pt idx="33">
                  <c:v>65.006799999999998</c:v>
                </c:pt>
                <c:pt idx="34">
                  <c:v>65.507599999999996</c:v>
                </c:pt>
                <c:pt idx="35">
                  <c:v>64.829999999999984</c:v>
                </c:pt>
                <c:pt idx="36">
                  <c:v>67.443599999999989</c:v>
                </c:pt>
                <c:pt idx="37">
                  <c:v>67.98599999999999</c:v>
                </c:pt>
                <c:pt idx="38">
                  <c:v>66.923999999999992</c:v>
                </c:pt>
                <c:pt idx="39">
                  <c:v>64.499999999999986</c:v>
                </c:pt>
                <c:pt idx="40">
                  <c:v>62.910400000000003</c:v>
                </c:pt>
                <c:pt idx="41">
                  <c:v>62.100399999999993</c:v>
                </c:pt>
                <c:pt idx="42">
                  <c:v>62.655599999999993</c:v>
                </c:pt>
                <c:pt idx="43">
                  <c:v>62.937599999999996</c:v>
                </c:pt>
                <c:pt idx="44">
                  <c:v>63.019999999999989</c:v>
                </c:pt>
                <c:pt idx="45">
                  <c:v>63.426399999999987</c:v>
                </c:pt>
                <c:pt idx="46">
                  <c:v>67.205999999999989</c:v>
                </c:pt>
                <c:pt idx="47">
                  <c:v>71.186399999999992</c:v>
                </c:pt>
                <c:pt idx="48">
                  <c:v>74.24839999999999</c:v>
                </c:pt>
                <c:pt idx="49">
                  <c:v>73.733199999999982</c:v>
                </c:pt>
                <c:pt idx="50">
                  <c:v>72.932399999999987</c:v>
                </c:pt>
                <c:pt idx="51">
                  <c:v>69.213199999999986</c:v>
                </c:pt>
                <c:pt idx="52">
                  <c:v>70.228799999999978</c:v>
                </c:pt>
                <c:pt idx="53">
                  <c:v>71.710399999999993</c:v>
                </c:pt>
                <c:pt idx="54">
                  <c:v>73.426399999999987</c:v>
                </c:pt>
                <c:pt idx="55">
                  <c:v>70.323199999999986</c:v>
                </c:pt>
                <c:pt idx="56">
                  <c:v>73.115200000000002</c:v>
                </c:pt>
                <c:pt idx="57">
                  <c:v>72.129599999999996</c:v>
                </c:pt>
                <c:pt idx="58">
                  <c:v>69.177599999999984</c:v>
                </c:pt>
                <c:pt idx="59">
                  <c:v>70.033999999999992</c:v>
                </c:pt>
                <c:pt idx="60">
                  <c:v>70.393999999999991</c:v>
                </c:pt>
                <c:pt idx="61">
                  <c:v>68.885600000000011</c:v>
                </c:pt>
                <c:pt idx="62">
                  <c:v>67.641600000000011</c:v>
                </c:pt>
                <c:pt idx="63">
                  <c:v>70.242800000000003</c:v>
                </c:pt>
                <c:pt idx="64">
                  <c:v>65.811600000000013</c:v>
                </c:pt>
                <c:pt idx="65">
                  <c:v>62.300000000000011</c:v>
                </c:pt>
                <c:pt idx="66">
                  <c:v>59.694000000000017</c:v>
                </c:pt>
                <c:pt idx="67">
                  <c:v>59.272800000000018</c:v>
                </c:pt>
                <c:pt idx="68">
                  <c:v>59.371600000000015</c:v>
                </c:pt>
                <c:pt idx="69">
                  <c:v>60.099200000000017</c:v>
                </c:pt>
                <c:pt idx="70">
                  <c:v>61.887200000000014</c:v>
                </c:pt>
                <c:pt idx="71">
                  <c:v>61.462800000000016</c:v>
                </c:pt>
                <c:pt idx="72">
                  <c:v>74.146800000000013</c:v>
                </c:pt>
                <c:pt idx="73">
                  <c:v>75.473600000000019</c:v>
                </c:pt>
                <c:pt idx="74">
                  <c:v>79.070800000000006</c:v>
                </c:pt>
                <c:pt idx="75">
                  <c:v>79.742000000000004</c:v>
                </c:pt>
                <c:pt idx="76">
                  <c:v>80.644400000000019</c:v>
                </c:pt>
                <c:pt idx="77">
                  <c:v>79.958400000000012</c:v>
                </c:pt>
                <c:pt idx="78">
                  <c:v>79.874400000000009</c:v>
                </c:pt>
                <c:pt idx="79">
                  <c:v>100.61840000000001</c:v>
                </c:pt>
                <c:pt idx="80">
                  <c:v>98.144799999999989</c:v>
                </c:pt>
                <c:pt idx="81">
                  <c:v>97.052399999999977</c:v>
                </c:pt>
                <c:pt idx="82">
                  <c:v>98.010800000000003</c:v>
                </c:pt>
                <c:pt idx="83">
                  <c:v>94.347599999999986</c:v>
                </c:pt>
                <c:pt idx="84">
                  <c:v>91.754799999999975</c:v>
                </c:pt>
                <c:pt idx="85">
                  <c:v>90.928399999999996</c:v>
                </c:pt>
                <c:pt idx="86">
                  <c:v>93.56280000000001</c:v>
                </c:pt>
                <c:pt idx="87">
                  <c:v>93.184000000000012</c:v>
                </c:pt>
                <c:pt idx="88">
                  <c:v>89.813200000000009</c:v>
                </c:pt>
                <c:pt idx="89">
                  <c:v>89.045600000000007</c:v>
                </c:pt>
                <c:pt idx="90">
                  <c:v>90.423999999999992</c:v>
                </c:pt>
                <c:pt idx="91">
                  <c:v>92.256799999999998</c:v>
                </c:pt>
                <c:pt idx="92">
                  <c:v>94.827199999999991</c:v>
                </c:pt>
                <c:pt idx="93">
                  <c:v>98.179199999999994</c:v>
                </c:pt>
                <c:pt idx="94">
                  <c:v>100.33799999999999</c:v>
                </c:pt>
                <c:pt idx="95">
                  <c:v>102.9128</c:v>
                </c:pt>
                <c:pt idx="96">
                  <c:v>102.176</c:v>
                </c:pt>
                <c:pt idx="97">
                  <c:v>91.208000000000013</c:v>
                </c:pt>
                <c:pt idx="98">
                  <c:v>89.067599999999999</c:v>
                </c:pt>
                <c:pt idx="99">
                  <c:v>86.062799999999982</c:v>
                </c:pt>
                <c:pt idx="100">
                  <c:v>86.421199999999985</c:v>
                </c:pt>
                <c:pt idx="101">
                  <c:v>86.667200000000008</c:v>
                </c:pt>
                <c:pt idx="102">
                  <c:v>88.095200000000006</c:v>
                </c:pt>
                <c:pt idx="103">
                  <c:v>92.236799999999988</c:v>
                </c:pt>
                <c:pt idx="104">
                  <c:v>70.594400000000007</c:v>
                </c:pt>
                <c:pt idx="105">
                  <c:v>71.419600000000003</c:v>
                </c:pt>
                <c:pt idx="106">
                  <c:v>80.253599999999992</c:v>
                </c:pt>
                <c:pt idx="107">
                  <c:v>79.979200000000006</c:v>
                </c:pt>
                <c:pt idx="108">
                  <c:v>81.834400000000002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A3-46ED-953D-0934B8CAB83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'Média móvel CAS 24h'!$A$28:$A$136</c:f>
              <c:numCache>
                <c:formatCode>m/d/yyyy\ h:mm</c:formatCode>
                <c:ptCount val="109"/>
                <c:pt idx="0">
                  <c:v>46103.661804398151</c:v>
                </c:pt>
                <c:pt idx="1">
                  <c:v>46103.703471006942</c:v>
                </c:pt>
                <c:pt idx="2">
                  <c:v>46103.745137615741</c:v>
                </c:pt>
                <c:pt idx="3">
                  <c:v>46103.786804224539</c:v>
                </c:pt>
                <c:pt idx="4">
                  <c:v>46103.82916666667</c:v>
                </c:pt>
                <c:pt idx="5">
                  <c:v>46103.870833333334</c:v>
                </c:pt>
                <c:pt idx="6">
                  <c:v>46103.912499999999</c:v>
                </c:pt>
                <c:pt idx="7">
                  <c:v>46103.95416666667</c:v>
                </c:pt>
                <c:pt idx="8">
                  <c:v>46103.995833333334</c:v>
                </c:pt>
                <c:pt idx="9">
                  <c:v>46104.036805555559</c:v>
                </c:pt>
                <c:pt idx="10">
                  <c:v>46104.078472222223</c:v>
                </c:pt>
                <c:pt idx="11">
                  <c:v>46104.120138888888</c:v>
                </c:pt>
                <c:pt idx="12">
                  <c:v>46104.161805555559</c:v>
                </c:pt>
                <c:pt idx="13">
                  <c:v>46104.203472222223</c:v>
                </c:pt>
                <c:pt idx="14">
                  <c:v>46104.245138888888</c:v>
                </c:pt>
                <c:pt idx="15">
                  <c:v>46104.286805555559</c:v>
                </c:pt>
                <c:pt idx="16">
                  <c:v>46104.328472222223</c:v>
                </c:pt>
                <c:pt idx="17">
                  <c:v>46104.370833333334</c:v>
                </c:pt>
                <c:pt idx="18">
                  <c:v>46104.412499999999</c:v>
                </c:pt>
                <c:pt idx="19">
                  <c:v>46104.454166550924</c:v>
                </c:pt>
                <c:pt idx="20">
                  <c:v>46104.495833159723</c:v>
                </c:pt>
                <c:pt idx="21">
                  <c:v>46104.537499768521</c:v>
                </c:pt>
                <c:pt idx="22">
                  <c:v>46104.579166377313</c:v>
                </c:pt>
                <c:pt idx="23">
                  <c:v>46104.620832986111</c:v>
                </c:pt>
                <c:pt idx="24">
                  <c:v>46104.66249959491</c:v>
                </c:pt>
                <c:pt idx="25">
                  <c:v>46104.704166203701</c:v>
                </c:pt>
                <c:pt idx="26">
                  <c:v>46104.745832812499</c:v>
                </c:pt>
                <c:pt idx="27">
                  <c:v>46104.787499421298</c:v>
                </c:pt>
                <c:pt idx="28">
                  <c:v>46104.829166030089</c:v>
                </c:pt>
                <c:pt idx="29">
                  <c:v>46104.870832638888</c:v>
                </c:pt>
                <c:pt idx="30">
                  <c:v>46104.912499247686</c:v>
                </c:pt>
                <c:pt idx="31">
                  <c:v>46104.954165856485</c:v>
                </c:pt>
                <c:pt idx="32">
                  <c:v>46104.995832465276</c:v>
                </c:pt>
                <c:pt idx="33">
                  <c:v>46105.037499999999</c:v>
                </c:pt>
                <c:pt idx="34">
                  <c:v>46105.07916666667</c:v>
                </c:pt>
                <c:pt idx="35">
                  <c:v>46105.120833391207</c:v>
                </c:pt>
                <c:pt idx="36">
                  <c:v>46105.162500115737</c:v>
                </c:pt>
                <c:pt idx="37">
                  <c:v>46105.204166840274</c:v>
                </c:pt>
                <c:pt idx="38">
                  <c:v>46105.245833564812</c:v>
                </c:pt>
                <c:pt idx="39">
                  <c:v>46105.287500289349</c:v>
                </c:pt>
                <c:pt idx="40">
                  <c:v>46105.329861111109</c:v>
                </c:pt>
                <c:pt idx="41">
                  <c:v>46105.371527777781</c:v>
                </c:pt>
                <c:pt idx="42">
                  <c:v>46105.413194502318</c:v>
                </c:pt>
                <c:pt idx="43">
                  <c:v>46105.454861226855</c:v>
                </c:pt>
                <c:pt idx="44">
                  <c:v>46105.495833912035</c:v>
                </c:pt>
                <c:pt idx="45">
                  <c:v>46105.537500636572</c:v>
                </c:pt>
                <c:pt idx="46">
                  <c:v>46105.579167361109</c:v>
                </c:pt>
                <c:pt idx="47">
                  <c:v>46105.620834085646</c:v>
                </c:pt>
                <c:pt idx="48">
                  <c:v>46105.662500810184</c:v>
                </c:pt>
                <c:pt idx="49">
                  <c:v>46105.704167476855</c:v>
                </c:pt>
                <c:pt idx="50">
                  <c:v>46105.745834201392</c:v>
                </c:pt>
                <c:pt idx="51">
                  <c:v>46105.788194444445</c:v>
                </c:pt>
                <c:pt idx="52">
                  <c:v>46105.829861111109</c:v>
                </c:pt>
                <c:pt idx="53">
                  <c:v>46105.871527662035</c:v>
                </c:pt>
                <c:pt idx="54">
                  <c:v>46105.913194270834</c:v>
                </c:pt>
                <c:pt idx="55">
                  <c:v>46105.954860879632</c:v>
                </c:pt>
                <c:pt idx="56">
                  <c:v>46105.996527488423</c:v>
                </c:pt>
                <c:pt idx="57">
                  <c:v>46106.038194097222</c:v>
                </c:pt>
                <c:pt idx="58">
                  <c:v>46106.079860706021</c:v>
                </c:pt>
                <c:pt idx="59">
                  <c:v>46106.121527314812</c:v>
                </c:pt>
                <c:pt idx="60">
                  <c:v>46106.16319392361</c:v>
                </c:pt>
                <c:pt idx="61">
                  <c:v>46106.20416666667</c:v>
                </c:pt>
                <c:pt idx="62">
                  <c:v>46106.245833333334</c:v>
                </c:pt>
                <c:pt idx="63">
                  <c:v>46106.287499999999</c:v>
                </c:pt>
                <c:pt idx="64">
                  <c:v>46106.329861111109</c:v>
                </c:pt>
                <c:pt idx="65">
                  <c:v>46106.371527777781</c:v>
                </c:pt>
                <c:pt idx="66">
                  <c:v>46106.413194502318</c:v>
                </c:pt>
                <c:pt idx="67">
                  <c:v>46106.454861226855</c:v>
                </c:pt>
                <c:pt idx="68">
                  <c:v>46106.496527951385</c:v>
                </c:pt>
                <c:pt idx="69">
                  <c:v>46106.538194675923</c:v>
                </c:pt>
                <c:pt idx="70">
                  <c:v>46106.579861342594</c:v>
                </c:pt>
                <c:pt idx="71">
                  <c:v>46106.621528067131</c:v>
                </c:pt>
                <c:pt idx="72">
                  <c:v>46106.663194791669</c:v>
                </c:pt>
                <c:pt idx="73">
                  <c:v>46106.704861516206</c:v>
                </c:pt>
                <c:pt idx="74">
                  <c:v>46106.746528240743</c:v>
                </c:pt>
                <c:pt idx="75">
                  <c:v>46106.788888888892</c:v>
                </c:pt>
                <c:pt idx="76">
                  <c:v>46106.830555555556</c:v>
                </c:pt>
                <c:pt idx="77">
                  <c:v>46106.87222222222</c:v>
                </c:pt>
                <c:pt idx="78">
                  <c:v>46106.913194444445</c:v>
                </c:pt>
                <c:pt idx="79">
                  <c:v>46106.954861111109</c:v>
                </c:pt>
                <c:pt idx="80">
                  <c:v>46106.996527662035</c:v>
                </c:pt>
                <c:pt idx="81">
                  <c:v>46107.038194270834</c:v>
                </c:pt>
                <c:pt idx="82">
                  <c:v>46107.079860937498</c:v>
                </c:pt>
                <c:pt idx="83">
                  <c:v>46107.121527604169</c:v>
                </c:pt>
                <c:pt idx="84">
                  <c:v>46107.163194270834</c:v>
                </c:pt>
                <c:pt idx="85">
                  <c:v>46107.204860937498</c:v>
                </c:pt>
                <c:pt idx="86">
                  <c:v>46107.246527604169</c:v>
                </c:pt>
                <c:pt idx="87">
                  <c:v>46107.288194270834</c:v>
                </c:pt>
                <c:pt idx="88">
                  <c:v>46107.330555555556</c:v>
                </c:pt>
                <c:pt idx="89">
                  <c:v>46107.37222222222</c:v>
                </c:pt>
                <c:pt idx="90">
                  <c:v>46107.413888773146</c:v>
                </c:pt>
                <c:pt idx="91">
                  <c:v>46107.455555381945</c:v>
                </c:pt>
                <c:pt idx="92">
                  <c:v>46107.497221990743</c:v>
                </c:pt>
                <c:pt idx="93">
                  <c:v>46107.538888599534</c:v>
                </c:pt>
                <c:pt idx="94">
                  <c:v>46107.580555092594</c:v>
                </c:pt>
                <c:pt idx="95">
                  <c:v>46107.621527777781</c:v>
                </c:pt>
                <c:pt idx="96">
                  <c:v>46107.663194444445</c:v>
                </c:pt>
                <c:pt idx="97">
                  <c:v>46107.704861111109</c:v>
                </c:pt>
                <c:pt idx="98">
                  <c:v>46107.746527662035</c:v>
                </c:pt>
                <c:pt idx="99">
                  <c:v>46107.788194270834</c:v>
                </c:pt>
                <c:pt idx="100">
                  <c:v>46107.830555092594</c:v>
                </c:pt>
                <c:pt idx="101">
                  <c:v>46107.872221817132</c:v>
                </c:pt>
                <c:pt idx="102">
                  <c:v>46107.913888541669</c:v>
                </c:pt>
                <c:pt idx="103">
                  <c:v>46107.955555266206</c:v>
                </c:pt>
                <c:pt idx="104">
                  <c:v>46107.997221990743</c:v>
                </c:pt>
                <c:pt idx="105">
                  <c:v>46108.03888871528</c:v>
                </c:pt>
                <c:pt idx="106">
                  <c:v>46108.080555439818</c:v>
                </c:pt>
                <c:pt idx="107">
                  <c:v>46108.12222222222</c:v>
                </c:pt>
                <c:pt idx="108">
                  <c:v>46108.163888888892</c:v>
                </c:pt>
              </c:numCache>
            </c:numRef>
          </c:xVal>
          <c:yVal>
            <c:numRef>
              <c:f>'Média móvel CAS 24h'!$H$28:$H$136</c:f>
              <c:numCache>
                <c:formatCode>General</c:formatCode>
                <c:ptCount val="109"/>
                <c:pt idx="0">
                  <c:v>55.097199999999994</c:v>
                </c:pt>
                <c:pt idx="1">
                  <c:v>55.285199999999996</c:v>
                </c:pt>
                <c:pt idx="2">
                  <c:v>55.434399999999997</c:v>
                </c:pt>
                <c:pt idx="3">
                  <c:v>55.982399999999998</c:v>
                </c:pt>
                <c:pt idx="4">
                  <c:v>56.369199999999992</c:v>
                </c:pt>
                <c:pt idx="5">
                  <c:v>56.748800000000003</c:v>
                </c:pt>
                <c:pt idx="6">
                  <c:v>57.112400000000001</c:v>
                </c:pt>
                <c:pt idx="7">
                  <c:v>60.276799999999987</c:v>
                </c:pt>
                <c:pt idx="8">
                  <c:v>60.300799999999988</c:v>
                </c:pt>
                <c:pt idx="9">
                  <c:v>60.743599999999986</c:v>
                </c:pt>
                <c:pt idx="10">
                  <c:v>60.923999999999999</c:v>
                </c:pt>
                <c:pt idx="11">
                  <c:v>57.653200000000005</c:v>
                </c:pt>
                <c:pt idx="12">
                  <c:v>53.984799999999993</c:v>
                </c:pt>
                <c:pt idx="13">
                  <c:v>53.254799999999996</c:v>
                </c:pt>
                <c:pt idx="14">
                  <c:v>57.182400000000001</c:v>
                </c:pt>
                <c:pt idx="15">
                  <c:v>53.675999999999995</c:v>
                </c:pt>
                <c:pt idx="16">
                  <c:v>54.45239999999999</c:v>
                </c:pt>
                <c:pt idx="17">
                  <c:v>49.055600000000005</c:v>
                </c:pt>
                <c:pt idx="18">
                  <c:v>44.241199999999999</c:v>
                </c:pt>
                <c:pt idx="19">
                  <c:v>41.209200000000003</c:v>
                </c:pt>
                <c:pt idx="20">
                  <c:v>40.721599999999995</c:v>
                </c:pt>
                <c:pt idx="21">
                  <c:v>40.567999999999998</c:v>
                </c:pt>
                <c:pt idx="22">
                  <c:v>40.566000000000003</c:v>
                </c:pt>
                <c:pt idx="23">
                  <c:v>40.999999999999993</c:v>
                </c:pt>
                <c:pt idx="24">
                  <c:v>42.207599999999992</c:v>
                </c:pt>
                <c:pt idx="25">
                  <c:v>43.985999999999997</c:v>
                </c:pt>
                <c:pt idx="26">
                  <c:v>46.479599999999991</c:v>
                </c:pt>
                <c:pt idx="27">
                  <c:v>47.658799999999992</c:v>
                </c:pt>
                <c:pt idx="28">
                  <c:v>47.999600000000001</c:v>
                </c:pt>
                <c:pt idx="29">
                  <c:v>48.02239999999999</c:v>
                </c:pt>
                <c:pt idx="30">
                  <c:v>51.293199999999985</c:v>
                </c:pt>
                <c:pt idx="31">
                  <c:v>51.107199999999992</c:v>
                </c:pt>
                <c:pt idx="32">
                  <c:v>49.025600000000004</c:v>
                </c:pt>
                <c:pt idx="33">
                  <c:v>52.028800000000011</c:v>
                </c:pt>
                <c:pt idx="34">
                  <c:v>52.294000000000004</c:v>
                </c:pt>
                <c:pt idx="35">
                  <c:v>51.934799999999996</c:v>
                </c:pt>
                <c:pt idx="36">
                  <c:v>53.319600000000001</c:v>
                </c:pt>
                <c:pt idx="37">
                  <c:v>53.606799999999993</c:v>
                </c:pt>
                <c:pt idx="38">
                  <c:v>53.044399999999996</c:v>
                </c:pt>
                <c:pt idx="39">
                  <c:v>51.758399999999995</c:v>
                </c:pt>
                <c:pt idx="40">
                  <c:v>50.916399999999996</c:v>
                </c:pt>
                <c:pt idx="41">
                  <c:v>50.487599999999993</c:v>
                </c:pt>
                <c:pt idx="42">
                  <c:v>50.78159999999999</c:v>
                </c:pt>
                <c:pt idx="43">
                  <c:v>50.930799999999991</c:v>
                </c:pt>
                <c:pt idx="44">
                  <c:v>50.974799999999995</c:v>
                </c:pt>
                <c:pt idx="45">
                  <c:v>51.189999999999991</c:v>
                </c:pt>
                <c:pt idx="46">
                  <c:v>53.192</c:v>
                </c:pt>
                <c:pt idx="47">
                  <c:v>55.300800000000002</c:v>
                </c:pt>
                <c:pt idx="48">
                  <c:v>56.965599999999995</c:v>
                </c:pt>
                <c:pt idx="49">
                  <c:v>56.692799999999998</c:v>
                </c:pt>
                <c:pt idx="50">
                  <c:v>56.268799999999999</c:v>
                </c:pt>
                <c:pt idx="51">
                  <c:v>54.297200000000004</c:v>
                </c:pt>
                <c:pt idx="52">
                  <c:v>54.835600000000007</c:v>
                </c:pt>
                <c:pt idx="53">
                  <c:v>55.60840000000001</c:v>
                </c:pt>
                <c:pt idx="54">
                  <c:v>56.517199999999995</c:v>
                </c:pt>
                <c:pt idx="55">
                  <c:v>54.871999999999986</c:v>
                </c:pt>
                <c:pt idx="56">
                  <c:v>56.351199999999992</c:v>
                </c:pt>
                <c:pt idx="57">
                  <c:v>55.829199999999993</c:v>
                </c:pt>
                <c:pt idx="58">
                  <c:v>54.264399999999995</c:v>
                </c:pt>
                <c:pt idx="59">
                  <c:v>54.718000000000004</c:v>
                </c:pt>
                <c:pt idx="60">
                  <c:v>54.908799999999999</c:v>
                </c:pt>
                <c:pt idx="61">
                  <c:v>54.1096</c:v>
                </c:pt>
                <c:pt idx="62">
                  <c:v>53.450399999999988</c:v>
                </c:pt>
                <c:pt idx="63">
                  <c:v>54.828799999999994</c:v>
                </c:pt>
                <c:pt idx="64">
                  <c:v>52.480800000000002</c:v>
                </c:pt>
                <c:pt idx="65">
                  <c:v>50.620799999999988</c:v>
                </c:pt>
                <c:pt idx="66">
                  <c:v>49.240399999999994</c:v>
                </c:pt>
                <c:pt idx="67">
                  <c:v>49.017599999999995</c:v>
                </c:pt>
                <c:pt idx="68">
                  <c:v>49.070399999999992</c:v>
                </c:pt>
                <c:pt idx="69">
                  <c:v>49.455599999999983</c:v>
                </c:pt>
                <c:pt idx="70">
                  <c:v>50.413199999999989</c:v>
                </c:pt>
                <c:pt idx="71">
                  <c:v>50.187999999999995</c:v>
                </c:pt>
                <c:pt idx="72">
                  <c:v>56.916399999999996</c:v>
                </c:pt>
                <c:pt idx="73">
                  <c:v>57.576800000000006</c:v>
                </c:pt>
                <c:pt idx="74">
                  <c:v>59.482800000000005</c:v>
                </c:pt>
                <c:pt idx="75">
                  <c:v>59.8384</c:v>
                </c:pt>
                <c:pt idx="76">
                  <c:v>60.317599999999999</c:v>
                </c:pt>
                <c:pt idx="77">
                  <c:v>59.953999999999994</c:v>
                </c:pt>
                <c:pt idx="78">
                  <c:v>59.921599999999998</c:v>
                </c:pt>
                <c:pt idx="79">
                  <c:v>70.933599999999984</c:v>
                </c:pt>
                <c:pt idx="80">
                  <c:v>69.622799999999984</c:v>
                </c:pt>
                <c:pt idx="81">
                  <c:v>69.043999999999997</c:v>
                </c:pt>
                <c:pt idx="82">
                  <c:v>69.551599999999993</c:v>
                </c:pt>
                <c:pt idx="83">
                  <c:v>67.610399999999998</c:v>
                </c:pt>
                <c:pt idx="84">
                  <c:v>66.236799999999988</c:v>
                </c:pt>
                <c:pt idx="85">
                  <c:v>65.798799999999986</c:v>
                </c:pt>
                <c:pt idx="86">
                  <c:v>67.194800000000001</c:v>
                </c:pt>
                <c:pt idx="87">
                  <c:v>66.994399999999999</c:v>
                </c:pt>
                <c:pt idx="88">
                  <c:v>65.208399999999997</c:v>
                </c:pt>
                <c:pt idx="89">
                  <c:v>64.801999999999992</c:v>
                </c:pt>
                <c:pt idx="90">
                  <c:v>65.531999999999996</c:v>
                </c:pt>
                <c:pt idx="91">
                  <c:v>66.502399999999994</c:v>
                </c:pt>
                <c:pt idx="92">
                  <c:v>67.863599999999991</c:v>
                </c:pt>
                <c:pt idx="93">
                  <c:v>69.638800000000003</c:v>
                </c:pt>
                <c:pt idx="94">
                  <c:v>70.781999999999996</c:v>
                </c:pt>
                <c:pt idx="95">
                  <c:v>72.135600000000011</c:v>
                </c:pt>
                <c:pt idx="96">
                  <c:v>71.745199999999997</c:v>
                </c:pt>
                <c:pt idx="97">
                  <c:v>65.926000000000002</c:v>
                </c:pt>
                <c:pt idx="98">
                  <c:v>64.792000000000002</c:v>
                </c:pt>
                <c:pt idx="99">
                  <c:v>63.199600000000011</c:v>
                </c:pt>
                <c:pt idx="100">
                  <c:v>63.38920000000001</c:v>
                </c:pt>
                <c:pt idx="101">
                  <c:v>63.519599999999997</c:v>
                </c:pt>
                <c:pt idx="102">
                  <c:v>64.27600000000001</c:v>
                </c:pt>
                <c:pt idx="103">
                  <c:v>66.471199999999996</c:v>
                </c:pt>
                <c:pt idx="104">
                  <c:v>54.983600000000003</c:v>
                </c:pt>
                <c:pt idx="105">
                  <c:v>55.421200000000006</c:v>
                </c:pt>
                <c:pt idx="106">
                  <c:v>60.10560000000001</c:v>
                </c:pt>
                <c:pt idx="107">
                  <c:v>59.960400000000021</c:v>
                </c:pt>
                <c:pt idx="108">
                  <c:v>60.943200000000019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A3-46ED-953D-0934B8CAB83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'Média móvel CAS 24h'!$A$28:$A$136</c:f>
              <c:numCache>
                <c:formatCode>m/d/yyyy\ h:mm</c:formatCode>
                <c:ptCount val="109"/>
                <c:pt idx="0">
                  <c:v>46103.661804398151</c:v>
                </c:pt>
                <c:pt idx="1">
                  <c:v>46103.703471006942</c:v>
                </c:pt>
                <c:pt idx="2">
                  <c:v>46103.745137615741</c:v>
                </c:pt>
                <c:pt idx="3">
                  <c:v>46103.786804224539</c:v>
                </c:pt>
                <c:pt idx="4">
                  <c:v>46103.82916666667</c:v>
                </c:pt>
                <c:pt idx="5">
                  <c:v>46103.870833333334</c:v>
                </c:pt>
                <c:pt idx="6">
                  <c:v>46103.912499999999</c:v>
                </c:pt>
                <c:pt idx="7">
                  <c:v>46103.95416666667</c:v>
                </c:pt>
                <c:pt idx="8">
                  <c:v>46103.995833333334</c:v>
                </c:pt>
                <c:pt idx="9">
                  <c:v>46104.036805555559</c:v>
                </c:pt>
                <c:pt idx="10">
                  <c:v>46104.078472222223</c:v>
                </c:pt>
                <c:pt idx="11">
                  <c:v>46104.120138888888</c:v>
                </c:pt>
                <c:pt idx="12">
                  <c:v>46104.161805555559</c:v>
                </c:pt>
                <c:pt idx="13">
                  <c:v>46104.203472222223</c:v>
                </c:pt>
                <c:pt idx="14">
                  <c:v>46104.245138888888</c:v>
                </c:pt>
                <c:pt idx="15">
                  <c:v>46104.286805555559</c:v>
                </c:pt>
                <c:pt idx="16">
                  <c:v>46104.328472222223</c:v>
                </c:pt>
                <c:pt idx="17">
                  <c:v>46104.370833333334</c:v>
                </c:pt>
                <c:pt idx="18">
                  <c:v>46104.412499999999</c:v>
                </c:pt>
                <c:pt idx="19">
                  <c:v>46104.454166550924</c:v>
                </c:pt>
                <c:pt idx="20">
                  <c:v>46104.495833159723</c:v>
                </c:pt>
                <c:pt idx="21">
                  <c:v>46104.537499768521</c:v>
                </c:pt>
                <c:pt idx="22">
                  <c:v>46104.579166377313</c:v>
                </c:pt>
                <c:pt idx="23">
                  <c:v>46104.620832986111</c:v>
                </c:pt>
                <c:pt idx="24">
                  <c:v>46104.66249959491</c:v>
                </c:pt>
                <c:pt idx="25">
                  <c:v>46104.704166203701</c:v>
                </c:pt>
                <c:pt idx="26">
                  <c:v>46104.745832812499</c:v>
                </c:pt>
                <c:pt idx="27">
                  <c:v>46104.787499421298</c:v>
                </c:pt>
                <c:pt idx="28">
                  <c:v>46104.829166030089</c:v>
                </c:pt>
                <c:pt idx="29">
                  <c:v>46104.870832638888</c:v>
                </c:pt>
                <c:pt idx="30">
                  <c:v>46104.912499247686</c:v>
                </c:pt>
                <c:pt idx="31">
                  <c:v>46104.954165856485</c:v>
                </c:pt>
                <c:pt idx="32">
                  <c:v>46104.995832465276</c:v>
                </c:pt>
                <c:pt idx="33">
                  <c:v>46105.037499999999</c:v>
                </c:pt>
                <c:pt idx="34">
                  <c:v>46105.07916666667</c:v>
                </c:pt>
                <c:pt idx="35">
                  <c:v>46105.120833391207</c:v>
                </c:pt>
                <c:pt idx="36">
                  <c:v>46105.162500115737</c:v>
                </c:pt>
                <c:pt idx="37">
                  <c:v>46105.204166840274</c:v>
                </c:pt>
                <c:pt idx="38">
                  <c:v>46105.245833564812</c:v>
                </c:pt>
                <c:pt idx="39">
                  <c:v>46105.287500289349</c:v>
                </c:pt>
                <c:pt idx="40">
                  <c:v>46105.329861111109</c:v>
                </c:pt>
                <c:pt idx="41">
                  <c:v>46105.371527777781</c:v>
                </c:pt>
                <c:pt idx="42">
                  <c:v>46105.413194502318</c:v>
                </c:pt>
                <c:pt idx="43">
                  <c:v>46105.454861226855</c:v>
                </c:pt>
                <c:pt idx="44">
                  <c:v>46105.495833912035</c:v>
                </c:pt>
                <c:pt idx="45">
                  <c:v>46105.537500636572</c:v>
                </c:pt>
                <c:pt idx="46">
                  <c:v>46105.579167361109</c:v>
                </c:pt>
                <c:pt idx="47">
                  <c:v>46105.620834085646</c:v>
                </c:pt>
                <c:pt idx="48">
                  <c:v>46105.662500810184</c:v>
                </c:pt>
                <c:pt idx="49">
                  <c:v>46105.704167476855</c:v>
                </c:pt>
                <c:pt idx="50">
                  <c:v>46105.745834201392</c:v>
                </c:pt>
                <c:pt idx="51">
                  <c:v>46105.788194444445</c:v>
                </c:pt>
                <c:pt idx="52">
                  <c:v>46105.829861111109</c:v>
                </c:pt>
                <c:pt idx="53">
                  <c:v>46105.871527662035</c:v>
                </c:pt>
                <c:pt idx="54">
                  <c:v>46105.913194270834</c:v>
                </c:pt>
                <c:pt idx="55">
                  <c:v>46105.954860879632</c:v>
                </c:pt>
                <c:pt idx="56">
                  <c:v>46105.996527488423</c:v>
                </c:pt>
                <c:pt idx="57">
                  <c:v>46106.038194097222</c:v>
                </c:pt>
                <c:pt idx="58">
                  <c:v>46106.079860706021</c:v>
                </c:pt>
                <c:pt idx="59">
                  <c:v>46106.121527314812</c:v>
                </c:pt>
                <c:pt idx="60">
                  <c:v>46106.16319392361</c:v>
                </c:pt>
                <c:pt idx="61">
                  <c:v>46106.20416666667</c:v>
                </c:pt>
                <c:pt idx="62">
                  <c:v>46106.245833333334</c:v>
                </c:pt>
                <c:pt idx="63">
                  <c:v>46106.287499999999</c:v>
                </c:pt>
                <c:pt idx="64">
                  <c:v>46106.329861111109</c:v>
                </c:pt>
                <c:pt idx="65">
                  <c:v>46106.371527777781</c:v>
                </c:pt>
                <c:pt idx="66">
                  <c:v>46106.413194502318</c:v>
                </c:pt>
                <c:pt idx="67">
                  <c:v>46106.454861226855</c:v>
                </c:pt>
                <c:pt idx="68">
                  <c:v>46106.496527951385</c:v>
                </c:pt>
                <c:pt idx="69">
                  <c:v>46106.538194675923</c:v>
                </c:pt>
                <c:pt idx="70">
                  <c:v>46106.579861342594</c:v>
                </c:pt>
                <c:pt idx="71">
                  <c:v>46106.621528067131</c:v>
                </c:pt>
                <c:pt idx="72">
                  <c:v>46106.663194791669</c:v>
                </c:pt>
                <c:pt idx="73">
                  <c:v>46106.704861516206</c:v>
                </c:pt>
                <c:pt idx="74">
                  <c:v>46106.746528240743</c:v>
                </c:pt>
                <c:pt idx="75">
                  <c:v>46106.788888888892</c:v>
                </c:pt>
                <c:pt idx="76">
                  <c:v>46106.830555555556</c:v>
                </c:pt>
                <c:pt idx="77">
                  <c:v>46106.87222222222</c:v>
                </c:pt>
                <c:pt idx="78">
                  <c:v>46106.913194444445</c:v>
                </c:pt>
                <c:pt idx="79">
                  <c:v>46106.954861111109</c:v>
                </c:pt>
                <c:pt idx="80">
                  <c:v>46106.996527662035</c:v>
                </c:pt>
                <c:pt idx="81">
                  <c:v>46107.038194270834</c:v>
                </c:pt>
                <c:pt idx="82">
                  <c:v>46107.079860937498</c:v>
                </c:pt>
                <c:pt idx="83">
                  <c:v>46107.121527604169</c:v>
                </c:pt>
                <c:pt idx="84">
                  <c:v>46107.163194270834</c:v>
                </c:pt>
                <c:pt idx="85">
                  <c:v>46107.204860937498</c:v>
                </c:pt>
                <c:pt idx="86">
                  <c:v>46107.246527604169</c:v>
                </c:pt>
                <c:pt idx="87">
                  <c:v>46107.288194270834</c:v>
                </c:pt>
                <c:pt idx="88">
                  <c:v>46107.330555555556</c:v>
                </c:pt>
                <c:pt idx="89">
                  <c:v>46107.37222222222</c:v>
                </c:pt>
                <c:pt idx="90">
                  <c:v>46107.413888773146</c:v>
                </c:pt>
                <c:pt idx="91">
                  <c:v>46107.455555381945</c:v>
                </c:pt>
                <c:pt idx="92">
                  <c:v>46107.497221990743</c:v>
                </c:pt>
                <c:pt idx="93">
                  <c:v>46107.538888599534</c:v>
                </c:pt>
                <c:pt idx="94">
                  <c:v>46107.580555092594</c:v>
                </c:pt>
                <c:pt idx="95">
                  <c:v>46107.621527777781</c:v>
                </c:pt>
                <c:pt idx="96">
                  <c:v>46107.663194444445</c:v>
                </c:pt>
                <c:pt idx="97">
                  <c:v>46107.704861111109</c:v>
                </c:pt>
                <c:pt idx="98">
                  <c:v>46107.746527662035</c:v>
                </c:pt>
                <c:pt idx="99">
                  <c:v>46107.788194270834</c:v>
                </c:pt>
                <c:pt idx="100">
                  <c:v>46107.830555092594</c:v>
                </c:pt>
                <c:pt idx="101">
                  <c:v>46107.872221817132</c:v>
                </c:pt>
                <c:pt idx="102">
                  <c:v>46107.913888541669</c:v>
                </c:pt>
                <c:pt idx="103">
                  <c:v>46107.955555266206</c:v>
                </c:pt>
                <c:pt idx="104">
                  <c:v>46107.997221990743</c:v>
                </c:pt>
                <c:pt idx="105">
                  <c:v>46108.03888871528</c:v>
                </c:pt>
                <c:pt idx="106">
                  <c:v>46108.080555439818</c:v>
                </c:pt>
                <c:pt idx="107">
                  <c:v>46108.12222222222</c:v>
                </c:pt>
                <c:pt idx="108">
                  <c:v>46108.163888888892</c:v>
                </c:pt>
              </c:numCache>
            </c:numRef>
          </c:xVal>
          <c:yVal>
            <c:numRef>
              <c:f>'Média móvel CAS 24h'!$I$28:$I$136</c:f>
              <c:numCache>
                <c:formatCode>General</c:formatCode>
                <c:ptCount val="109"/>
                <c:pt idx="0">
                  <c:v>-15.994000000000005</c:v>
                </c:pt>
                <c:pt idx="1">
                  <c:v>-19.878400000000003</c:v>
                </c:pt>
                <c:pt idx="2">
                  <c:v>-19.564000000000007</c:v>
                </c:pt>
                <c:pt idx="3">
                  <c:v>-17.275600000000001</c:v>
                </c:pt>
                <c:pt idx="4">
                  <c:v>-16.828400000000009</c:v>
                </c:pt>
                <c:pt idx="5">
                  <c:v>-16.413200000000007</c:v>
                </c:pt>
                <c:pt idx="6">
                  <c:v>-15.987200000000009</c:v>
                </c:pt>
                <c:pt idx="7">
                  <c:v>-13.422400000000009</c:v>
                </c:pt>
                <c:pt idx="8">
                  <c:v>-13.383600000000001</c:v>
                </c:pt>
                <c:pt idx="9">
                  <c:v>-12.852800000000007</c:v>
                </c:pt>
                <c:pt idx="10">
                  <c:v>-12.669199999999996</c:v>
                </c:pt>
                <c:pt idx="11">
                  <c:v>-14.895599999999996</c:v>
                </c:pt>
                <c:pt idx="12">
                  <c:v>-17.061599999999995</c:v>
                </c:pt>
                <c:pt idx="13">
                  <c:v>-17.534800000000001</c:v>
                </c:pt>
                <c:pt idx="14">
                  <c:v>-14.233199999999997</c:v>
                </c:pt>
                <c:pt idx="15">
                  <c:v>-16.277999999999999</c:v>
                </c:pt>
                <c:pt idx="16">
                  <c:v>-15.603200000000005</c:v>
                </c:pt>
                <c:pt idx="17">
                  <c:v>-21.515200000000007</c:v>
                </c:pt>
                <c:pt idx="18">
                  <c:v>-38.071600000000018</c:v>
                </c:pt>
                <c:pt idx="19">
                  <c:v>-44.634799999999998</c:v>
                </c:pt>
                <c:pt idx="20">
                  <c:v>-66.651600000000002</c:v>
                </c:pt>
                <c:pt idx="21">
                  <c:v>-100.38200000000001</c:v>
                </c:pt>
                <c:pt idx="22">
                  <c:v>-101.8188</c:v>
                </c:pt>
                <c:pt idx="23">
                  <c:v>-78.0792</c:v>
                </c:pt>
                <c:pt idx="24">
                  <c:v>-70.621600000000001</c:v>
                </c:pt>
                <c:pt idx="25">
                  <c:v>-66.95</c:v>
                </c:pt>
                <c:pt idx="26">
                  <c:v>-63.257600000000004</c:v>
                </c:pt>
                <c:pt idx="27">
                  <c:v>-60.474000000000004</c:v>
                </c:pt>
                <c:pt idx="28">
                  <c:v>-60.054800000000014</c:v>
                </c:pt>
                <c:pt idx="29">
                  <c:v>-59.983600000000003</c:v>
                </c:pt>
                <c:pt idx="30">
                  <c:v>-57.64800000000001</c:v>
                </c:pt>
                <c:pt idx="31">
                  <c:v>-57.836800000000018</c:v>
                </c:pt>
                <c:pt idx="32">
                  <c:v>-59.236000000000004</c:v>
                </c:pt>
                <c:pt idx="33">
                  <c:v>-57.070000000000007</c:v>
                </c:pt>
                <c:pt idx="34">
                  <c:v>-56.801200000000016</c:v>
                </c:pt>
                <c:pt idx="35">
                  <c:v>-57.114800000000002</c:v>
                </c:pt>
                <c:pt idx="36">
                  <c:v>-55.97760000000001</c:v>
                </c:pt>
                <c:pt idx="37">
                  <c:v>-55.752400000000009</c:v>
                </c:pt>
                <c:pt idx="38">
                  <c:v>-56.291200000000011</c:v>
                </c:pt>
                <c:pt idx="39">
                  <c:v>-57.199600000000011</c:v>
                </c:pt>
                <c:pt idx="40">
                  <c:v>-57.957199999999993</c:v>
                </c:pt>
                <c:pt idx="41">
                  <c:v>-58.415199999999999</c:v>
                </c:pt>
                <c:pt idx="42">
                  <c:v>-57.843999999999987</c:v>
                </c:pt>
                <c:pt idx="43">
                  <c:v>-46.772800000000004</c:v>
                </c:pt>
                <c:pt idx="44">
                  <c:v>-45.020400000000009</c:v>
                </c:pt>
                <c:pt idx="45">
                  <c:v>-23.6752</c:v>
                </c:pt>
                <c:pt idx="46">
                  <c:v>13.598400000000002</c:v>
                </c:pt>
                <c:pt idx="47">
                  <c:v>29.871200000000002</c:v>
                </c:pt>
                <c:pt idx="48">
                  <c:v>32.791200000000003</c:v>
                </c:pt>
                <c:pt idx="49">
                  <c:v>32.641600000000004</c:v>
                </c:pt>
                <c:pt idx="50">
                  <c:v>32.561200000000007</c:v>
                </c:pt>
                <c:pt idx="51">
                  <c:v>31.2956</c:v>
                </c:pt>
                <c:pt idx="52">
                  <c:v>31.8856</c:v>
                </c:pt>
                <c:pt idx="53">
                  <c:v>32.625200000000007</c:v>
                </c:pt>
                <c:pt idx="54">
                  <c:v>33.519999999999996</c:v>
                </c:pt>
                <c:pt idx="55">
                  <c:v>32.548400000000001</c:v>
                </c:pt>
                <c:pt idx="56">
                  <c:v>33.883200000000009</c:v>
                </c:pt>
                <c:pt idx="57">
                  <c:v>33.375600000000006</c:v>
                </c:pt>
                <c:pt idx="58">
                  <c:v>32.322000000000003</c:v>
                </c:pt>
                <c:pt idx="59">
                  <c:v>32.660000000000004</c:v>
                </c:pt>
                <c:pt idx="60">
                  <c:v>32.752400000000002</c:v>
                </c:pt>
                <c:pt idx="61">
                  <c:v>32.042400000000001</c:v>
                </c:pt>
                <c:pt idx="62">
                  <c:v>31.407600000000002</c:v>
                </c:pt>
                <c:pt idx="63">
                  <c:v>32.479599999999998</c:v>
                </c:pt>
                <c:pt idx="64">
                  <c:v>30.424400000000002</c:v>
                </c:pt>
                <c:pt idx="65">
                  <c:v>31.228000000000002</c:v>
                </c:pt>
                <c:pt idx="66">
                  <c:v>26.065200000000004</c:v>
                </c:pt>
                <c:pt idx="67">
                  <c:v>25.745200000000001</c:v>
                </c:pt>
                <c:pt idx="68">
                  <c:v>26.056400000000004</c:v>
                </c:pt>
                <c:pt idx="69">
                  <c:v>27.304800000000004</c:v>
                </c:pt>
                <c:pt idx="70">
                  <c:v>30.293199999999999</c:v>
                </c:pt>
                <c:pt idx="71">
                  <c:v>30.503999999999998</c:v>
                </c:pt>
                <c:pt idx="72">
                  <c:v>33.404400000000003</c:v>
                </c:pt>
                <c:pt idx="73">
                  <c:v>34.158000000000001</c:v>
                </c:pt>
                <c:pt idx="74">
                  <c:v>35.776800000000001</c:v>
                </c:pt>
                <c:pt idx="75">
                  <c:v>36.195200000000007</c:v>
                </c:pt>
                <c:pt idx="76">
                  <c:v>36.740800000000007</c:v>
                </c:pt>
                <c:pt idx="77">
                  <c:v>36.461999999999996</c:v>
                </c:pt>
                <c:pt idx="78">
                  <c:v>36.475599999999993</c:v>
                </c:pt>
                <c:pt idx="79">
                  <c:v>43.743199999999995</c:v>
                </c:pt>
                <c:pt idx="80">
                  <c:v>42.777200000000001</c:v>
                </c:pt>
                <c:pt idx="81">
                  <c:v>42.370800000000003</c:v>
                </c:pt>
                <c:pt idx="82">
                  <c:v>42.885199999999998</c:v>
                </c:pt>
                <c:pt idx="83">
                  <c:v>41.253600000000006</c:v>
                </c:pt>
                <c:pt idx="84">
                  <c:v>39.843600000000009</c:v>
                </c:pt>
                <c:pt idx="85">
                  <c:v>39.486800000000009</c:v>
                </c:pt>
                <c:pt idx="86">
                  <c:v>40.488</c:v>
                </c:pt>
                <c:pt idx="87">
                  <c:v>40.304400000000001</c:v>
                </c:pt>
                <c:pt idx="88">
                  <c:v>38.797599999999996</c:v>
                </c:pt>
                <c:pt idx="89">
                  <c:v>38.323599999999999</c:v>
                </c:pt>
                <c:pt idx="90">
                  <c:v>36.452400000000004</c:v>
                </c:pt>
                <c:pt idx="91">
                  <c:v>41.328800000000001</c:v>
                </c:pt>
                <c:pt idx="92">
                  <c:v>44.551199999999987</c:v>
                </c:pt>
                <c:pt idx="93">
                  <c:v>48.297199999999997</c:v>
                </c:pt>
                <c:pt idx="94">
                  <c:v>51.14759999999999</c:v>
                </c:pt>
                <c:pt idx="95">
                  <c:v>52.437599999999996</c:v>
                </c:pt>
                <c:pt idx="96">
                  <c:v>52.261200000000002</c:v>
                </c:pt>
                <c:pt idx="97">
                  <c:v>50.808399999999999</c:v>
                </c:pt>
                <c:pt idx="98">
                  <c:v>50.293199999999999</c:v>
                </c:pt>
                <c:pt idx="99">
                  <c:v>49.220800000000011</c:v>
                </c:pt>
                <c:pt idx="100">
                  <c:v>49.487200000000009</c:v>
                </c:pt>
                <c:pt idx="101">
                  <c:v>49.67240000000001</c:v>
                </c:pt>
                <c:pt idx="102">
                  <c:v>50.316000000000003</c:v>
                </c:pt>
                <c:pt idx="103">
                  <c:v>52.024000000000008</c:v>
                </c:pt>
                <c:pt idx="104">
                  <c:v>44.459600000000002</c:v>
                </c:pt>
                <c:pt idx="105">
                  <c:v>45.008400000000002</c:v>
                </c:pt>
                <c:pt idx="106">
                  <c:v>49.892400000000009</c:v>
                </c:pt>
                <c:pt idx="107">
                  <c:v>49.904000000000003</c:v>
                </c:pt>
                <c:pt idx="108">
                  <c:v>51.046800000000005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A3-46ED-953D-0934B8CAB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617519"/>
        <c:axId val="1913628079"/>
      </c:scatterChart>
      <c:valAx>
        <c:axId val="191361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13628079"/>
        <c:crosses val="autoZero"/>
        <c:crossBetween val="midCat"/>
        <c:majorUnit val="0.25"/>
      </c:valAx>
      <c:valAx>
        <c:axId val="19136280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13617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55788</xdr:colOff>
      <xdr:row>1</xdr:row>
      <xdr:rowOff>21771</xdr:rowOff>
    </xdr:from>
    <xdr:to>
      <xdr:col>48</xdr:col>
      <xdr:colOff>378278</xdr:colOff>
      <xdr:row>33</xdr:row>
      <xdr:rowOff>69396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82732F-C064-1C86-2F8A-DD26E4ED7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549729</xdr:colOff>
      <xdr:row>34</xdr:row>
      <xdr:rowOff>108857</xdr:rowOff>
    </xdr:from>
    <xdr:to>
      <xdr:col>48</xdr:col>
      <xdr:colOff>435262</xdr:colOff>
      <xdr:row>54</xdr:row>
      <xdr:rowOff>104094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191A62-58B5-DB4F-805E-2AB6736BB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308084</xdr:colOff>
      <xdr:row>29</xdr:row>
      <xdr:rowOff>2462</xdr:rowOff>
    </xdr:from>
    <xdr:to>
      <xdr:col>36</xdr:col>
      <xdr:colOff>640820</xdr:colOff>
      <xdr:row>71</xdr:row>
      <xdr:rowOff>73941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D991BB-8F83-9941-B248-29E05B531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562695</xdr:colOff>
      <xdr:row>7</xdr:row>
      <xdr:rowOff>166007</xdr:rowOff>
    </xdr:from>
    <xdr:to>
      <xdr:col>54</xdr:col>
      <xdr:colOff>13606</xdr:colOff>
      <xdr:row>29</xdr:row>
      <xdr:rowOff>160084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F385B5-C276-00B2-9205-76199FF36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543484</xdr:colOff>
      <xdr:row>30</xdr:row>
      <xdr:rowOff>68354</xdr:rowOff>
    </xdr:from>
    <xdr:to>
      <xdr:col>54</xdr:col>
      <xdr:colOff>27214</xdr:colOff>
      <xdr:row>59</xdr:row>
      <xdr:rowOff>44824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83303B-B9B6-5ABB-0007-235D3B4D8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578302</xdr:colOff>
      <xdr:row>59</xdr:row>
      <xdr:rowOff>111578</xdr:rowOff>
    </xdr:from>
    <xdr:to>
      <xdr:col>54</xdr:col>
      <xdr:colOff>23812</xdr:colOff>
      <xdr:row>77</xdr:row>
      <xdr:rowOff>23811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240350-5B9B-EA66-3EA0-2A4F29703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578302</xdr:colOff>
      <xdr:row>76</xdr:row>
      <xdr:rowOff>159204</xdr:rowOff>
    </xdr:from>
    <xdr:to>
      <xdr:col>53</xdr:col>
      <xdr:colOff>595312</xdr:colOff>
      <xdr:row>92</xdr:row>
      <xdr:rowOff>168088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28923C4-9118-C459-1828-C48BAD4F2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547688</xdr:colOff>
      <xdr:row>92</xdr:row>
      <xdr:rowOff>168088</xdr:rowOff>
    </xdr:from>
    <xdr:to>
      <xdr:col>53</xdr:col>
      <xdr:colOff>595312</xdr:colOff>
      <xdr:row>115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7E4C080-71F5-9904-D67B-29B6703BD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595313</xdr:colOff>
      <xdr:row>115</xdr:row>
      <xdr:rowOff>57151</xdr:rowOff>
    </xdr:from>
    <xdr:to>
      <xdr:col>54</xdr:col>
      <xdr:colOff>0</xdr:colOff>
      <xdr:row>136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3C598E9-DD60-FFA5-BC8F-A6B9F0CFE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46225</xdr:colOff>
      <xdr:row>163</xdr:row>
      <xdr:rowOff>48747</xdr:rowOff>
    </xdr:from>
    <xdr:to>
      <xdr:col>54</xdr:col>
      <xdr:colOff>222717</xdr:colOff>
      <xdr:row>188</xdr:row>
      <xdr:rowOff>63033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8666685-CCB7-EDD1-2639-F02D100FF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571500</xdr:colOff>
      <xdr:row>136</xdr:row>
      <xdr:rowOff>9524</xdr:rowOff>
    </xdr:from>
    <xdr:to>
      <xdr:col>54</xdr:col>
      <xdr:colOff>190501</xdr:colOff>
      <xdr:row>162</xdr:row>
      <xdr:rowOff>119062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B92F3D7-3ED9-8416-E57A-B27743211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585362</xdr:colOff>
      <xdr:row>187</xdr:row>
      <xdr:rowOff>168832</xdr:rowOff>
    </xdr:from>
    <xdr:to>
      <xdr:col>54</xdr:col>
      <xdr:colOff>234145</xdr:colOff>
      <xdr:row>228</xdr:row>
      <xdr:rowOff>147881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89CA4B-E65B-299C-FA93-A4AAB0CF2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363540</xdr:colOff>
      <xdr:row>4</xdr:row>
      <xdr:rowOff>33271</xdr:rowOff>
    </xdr:from>
    <xdr:to>
      <xdr:col>34</xdr:col>
      <xdr:colOff>49292</xdr:colOff>
      <xdr:row>57</xdr:row>
      <xdr:rowOff>70859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3CBFA2-B274-2B92-A08D-9BA002771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000"/>
  <sheetViews>
    <sheetView zoomScaleNormal="100" workbookViewId="0">
      <pane ySplit="1" topLeftCell="A127" activePane="bottomLeft" state="frozen"/>
      <selection pane="bottomLeft" activeCell="C158" sqref="C158"/>
    </sheetView>
  </sheetViews>
  <sheetFormatPr defaultColWidth="12.625" defaultRowHeight="14.95" customHeight="1" x14ac:dyDescent="0.25"/>
  <cols>
    <col min="1" max="1" width="8.625" customWidth="1"/>
    <col min="2" max="2" width="10.125" customWidth="1"/>
    <col min="3" max="3" width="19.875" style="6" bestFit="1" customWidth="1"/>
    <col min="4" max="11" width="8.625" customWidth="1"/>
    <col min="12" max="12" width="8.625" style="19" customWidth="1"/>
    <col min="13" max="17" width="8.625" customWidth="1"/>
    <col min="18" max="18" width="11.125" bestFit="1" customWidth="1"/>
    <col min="19" max="19" width="8.625" customWidth="1"/>
    <col min="20" max="20" width="8.625" style="14" customWidth="1"/>
    <col min="21" max="25" width="8.625" customWidth="1"/>
  </cols>
  <sheetData>
    <row r="1" spans="2:20" ht="14.3" customHeight="1" x14ac:dyDescent="0.25">
      <c r="B1" s="1"/>
      <c r="C1" s="8" t="s">
        <v>17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2:20" ht="14.3" customHeight="1" x14ac:dyDescent="0.25">
      <c r="B2" s="2"/>
      <c r="C2" s="7">
        <v>46102.577777777777</v>
      </c>
      <c r="D2" s="1">
        <v>0</v>
      </c>
      <c r="E2" s="1">
        <v>0</v>
      </c>
      <c r="F2" s="1">
        <v>0</v>
      </c>
      <c r="G2" s="1">
        <v>0</v>
      </c>
      <c r="H2" s="1">
        <v>1159.2</v>
      </c>
      <c r="I2" s="1">
        <v>1179.4000000000001</v>
      </c>
      <c r="J2" s="1">
        <v>30.1</v>
      </c>
      <c r="K2" s="1">
        <v>38.799999999999997</v>
      </c>
      <c r="L2" s="16">
        <v>998.4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1">
        <v>13.58</v>
      </c>
    </row>
    <row r="3" spans="2:20" ht="14.3" customHeight="1" x14ac:dyDescent="0.25">
      <c r="B3" s="2"/>
      <c r="C3" s="7">
        <v>46102.619444444441</v>
      </c>
      <c r="D3" s="1">
        <v>9</v>
      </c>
      <c r="E3" s="1">
        <v>2</v>
      </c>
      <c r="F3" s="1">
        <v>384</v>
      </c>
      <c r="G3" s="1">
        <v>61</v>
      </c>
      <c r="H3" s="1">
        <v>1146.9000000000001</v>
      </c>
      <c r="I3" s="1">
        <v>1187.7</v>
      </c>
      <c r="J3" s="1">
        <v>36.200000000000003</v>
      </c>
      <c r="K3" s="1">
        <v>39.4</v>
      </c>
      <c r="L3" s="16">
        <v>998.1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1">
        <v>13.67</v>
      </c>
    </row>
    <row r="4" spans="2:20" ht="14.3" customHeight="1" x14ac:dyDescent="0.25">
      <c r="B4" s="2"/>
      <c r="C4" s="7">
        <v>46102.661111053239</v>
      </c>
      <c r="D4" s="1">
        <v>5</v>
      </c>
      <c r="E4" s="1">
        <v>2</v>
      </c>
      <c r="F4" s="1">
        <v>926</v>
      </c>
      <c r="G4" s="1">
        <v>188</v>
      </c>
      <c r="H4" s="1">
        <v>1176.4000000000001</v>
      </c>
      <c r="I4" s="1">
        <v>1186.7</v>
      </c>
      <c r="J4" s="1">
        <v>35.1</v>
      </c>
      <c r="K4" s="1">
        <v>43</v>
      </c>
      <c r="L4" s="16">
        <v>998.1</v>
      </c>
      <c r="M4" s="1">
        <v>409.4</v>
      </c>
      <c r="N4" s="1">
        <v>329</v>
      </c>
      <c r="O4" s="1">
        <v>0</v>
      </c>
      <c r="P4" s="1">
        <v>1.244</v>
      </c>
      <c r="Q4" s="1">
        <v>-4.72</v>
      </c>
      <c r="R4" s="1">
        <v>15.09</v>
      </c>
      <c r="S4" s="1">
        <v>58.13</v>
      </c>
      <c r="T4" s="11">
        <v>13.61</v>
      </c>
    </row>
    <row r="5" spans="2:20" ht="14.3" customHeight="1" x14ac:dyDescent="0.25">
      <c r="B5" s="2"/>
      <c r="C5" s="7">
        <v>46102.702777719911</v>
      </c>
      <c r="D5" s="1">
        <v>3</v>
      </c>
      <c r="E5" s="1">
        <v>2</v>
      </c>
      <c r="F5" s="1">
        <v>1270</v>
      </c>
      <c r="G5" s="1">
        <v>328</v>
      </c>
      <c r="H5" s="1">
        <v>1181.3</v>
      </c>
      <c r="I5" s="1">
        <v>1189.2</v>
      </c>
      <c r="J5" s="1">
        <v>37.1</v>
      </c>
      <c r="K5" s="1">
        <v>41.2</v>
      </c>
      <c r="L5" s="16">
        <v>998</v>
      </c>
      <c r="M5" s="1">
        <v>229.7</v>
      </c>
      <c r="N5" s="1">
        <v>184</v>
      </c>
      <c r="O5" s="1">
        <v>1</v>
      </c>
      <c r="P5" s="1">
        <v>1.284</v>
      </c>
      <c r="Q5" s="1">
        <v>4.51</v>
      </c>
      <c r="R5" s="1">
        <v>19.98</v>
      </c>
      <c r="S5" s="1">
        <v>-37.590000000000003</v>
      </c>
      <c r="T5" s="11">
        <v>13.67</v>
      </c>
    </row>
    <row r="6" spans="2:20" ht="14.3" customHeight="1" x14ac:dyDescent="0.25">
      <c r="B6" s="2"/>
      <c r="C6" s="7">
        <v>46102.744444386575</v>
      </c>
      <c r="D6" s="1">
        <v>2</v>
      </c>
      <c r="E6" s="1">
        <v>1</v>
      </c>
      <c r="F6" s="1">
        <v>1684</v>
      </c>
      <c r="G6" s="1">
        <v>452</v>
      </c>
      <c r="H6" s="1">
        <v>1156.7</v>
      </c>
      <c r="I6" s="1">
        <v>1172.0999999999999</v>
      </c>
      <c r="J6" s="1">
        <v>28.2</v>
      </c>
      <c r="K6" s="1">
        <v>50.4</v>
      </c>
      <c r="L6" s="16">
        <v>998.2</v>
      </c>
      <c r="M6" s="1">
        <v>227.7</v>
      </c>
      <c r="N6" s="1">
        <v>186</v>
      </c>
      <c r="O6" s="1">
        <v>2</v>
      </c>
      <c r="P6" s="1">
        <v>1.224</v>
      </c>
      <c r="Q6" s="1">
        <v>4.75</v>
      </c>
      <c r="R6" s="1">
        <v>20.100000000000001</v>
      </c>
      <c r="S6" s="1">
        <v>-35.869999999999997</v>
      </c>
      <c r="T6" s="11">
        <v>12.98</v>
      </c>
    </row>
    <row r="7" spans="2:20" ht="14.3" customHeight="1" x14ac:dyDescent="0.25">
      <c r="B7" s="2"/>
      <c r="C7" s="7">
        <v>46102.786111053239</v>
      </c>
      <c r="D7" s="1">
        <v>3</v>
      </c>
      <c r="E7" s="1">
        <v>2</v>
      </c>
      <c r="F7" s="1">
        <v>1938</v>
      </c>
      <c r="G7" s="1">
        <v>585</v>
      </c>
      <c r="H7" s="1">
        <v>1142</v>
      </c>
      <c r="I7" s="1">
        <v>1159.8</v>
      </c>
      <c r="J7" s="1">
        <v>23.1</v>
      </c>
      <c r="K7" s="1">
        <v>52.2</v>
      </c>
      <c r="L7" s="16">
        <v>998.7</v>
      </c>
      <c r="M7" s="1">
        <v>172.8</v>
      </c>
      <c r="N7" s="1">
        <v>143</v>
      </c>
      <c r="O7" s="1">
        <v>3</v>
      </c>
      <c r="P7" s="1">
        <v>1.208</v>
      </c>
      <c r="Q7" s="1">
        <v>16.59</v>
      </c>
      <c r="R7" s="1">
        <v>26.38</v>
      </c>
      <c r="S7" s="1">
        <v>13.29</v>
      </c>
      <c r="T7" s="11">
        <v>12.8</v>
      </c>
    </row>
    <row r="8" spans="2:20" ht="14.3" customHeight="1" x14ac:dyDescent="0.25">
      <c r="B8" s="2"/>
      <c r="C8" s="7">
        <v>46102.828472222223</v>
      </c>
      <c r="D8" s="1">
        <v>3</v>
      </c>
      <c r="E8" s="1">
        <v>2</v>
      </c>
      <c r="F8" s="1">
        <v>2115</v>
      </c>
      <c r="G8" s="1">
        <v>733</v>
      </c>
      <c r="H8" s="1">
        <v>1129.7</v>
      </c>
      <c r="I8" s="1">
        <v>1162.3</v>
      </c>
      <c r="J8" s="1">
        <v>20</v>
      </c>
      <c r="K8" s="1">
        <v>55.6</v>
      </c>
      <c r="L8" s="16">
        <v>993.3</v>
      </c>
      <c r="M8" s="1">
        <v>153</v>
      </c>
      <c r="N8" s="1">
        <v>127</v>
      </c>
      <c r="O8" s="1">
        <v>4</v>
      </c>
      <c r="P8" s="1">
        <v>1.2050000000000001</v>
      </c>
      <c r="Q8" s="1">
        <v>26.61</v>
      </c>
      <c r="R8" s="1">
        <v>31.68</v>
      </c>
      <c r="S8" s="1">
        <v>20.36</v>
      </c>
      <c r="T8" s="11">
        <v>12.72</v>
      </c>
    </row>
    <row r="9" spans="2:20" ht="14.3" customHeight="1" x14ac:dyDescent="0.25">
      <c r="B9" s="2"/>
      <c r="C9" s="7">
        <v>46102.870138888888</v>
      </c>
      <c r="D9" s="1">
        <v>0</v>
      </c>
      <c r="E9" s="1">
        <v>1</v>
      </c>
      <c r="F9" s="1">
        <v>2265</v>
      </c>
      <c r="G9" s="1">
        <v>868</v>
      </c>
      <c r="H9" s="1">
        <v>1164.0999999999999</v>
      </c>
      <c r="I9" s="1">
        <v>1155</v>
      </c>
      <c r="J9" s="1">
        <v>18.7</v>
      </c>
      <c r="K9" s="1">
        <v>55.8</v>
      </c>
      <c r="L9" s="16">
        <v>997.7</v>
      </c>
      <c r="M9" s="1">
        <v>156.6</v>
      </c>
      <c r="N9" s="1">
        <v>130</v>
      </c>
      <c r="O9" s="1">
        <v>4</v>
      </c>
      <c r="P9" s="1">
        <v>1.2050000000000001</v>
      </c>
      <c r="Q9" s="1">
        <v>24.29</v>
      </c>
      <c r="R9" s="1">
        <v>30.45</v>
      </c>
      <c r="S9" s="1">
        <v>19.170000000000002</v>
      </c>
      <c r="T9" s="11">
        <v>12.66</v>
      </c>
    </row>
    <row r="10" spans="2:20" ht="14.3" customHeight="1" x14ac:dyDescent="0.25">
      <c r="B10" s="2"/>
      <c r="C10" s="7">
        <v>46102.911805439813</v>
      </c>
      <c r="D10" s="1">
        <v>2</v>
      </c>
      <c r="E10" s="1">
        <v>2</v>
      </c>
      <c r="F10" s="1">
        <v>2430</v>
      </c>
      <c r="G10" s="1">
        <v>1015</v>
      </c>
      <c r="H10" s="1">
        <v>1129.7</v>
      </c>
      <c r="I10" s="1">
        <v>1147.5999999999999</v>
      </c>
      <c r="J10" s="1">
        <v>17.7</v>
      </c>
      <c r="K10" s="1">
        <v>56.2</v>
      </c>
      <c r="L10" s="16">
        <v>1000.1</v>
      </c>
      <c r="M10" s="1">
        <v>160.19999999999999</v>
      </c>
      <c r="N10" s="1">
        <v>133</v>
      </c>
      <c r="O10" s="1">
        <v>5</v>
      </c>
      <c r="P10" s="1">
        <v>1.204</v>
      </c>
      <c r="Q10" s="1">
        <v>22.24</v>
      </c>
      <c r="R10" s="1">
        <v>29.37</v>
      </c>
      <c r="S10" s="1">
        <v>18.010000000000002</v>
      </c>
      <c r="T10" s="11">
        <v>12.63</v>
      </c>
    </row>
    <row r="11" spans="2:20" ht="14.3" customHeight="1" x14ac:dyDescent="0.25">
      <c r="B11" s="2"/>
      <c r="C11" s="7">
        <v>46102.953472048612</v>
      </c>
      <c r="D11" s="1">
        <v>1</v>
      </c>
      <c r="E11" s="1">
        <v>0</v>
      </c>
      <c r="F11" s="1">
        <v>2613</v>
      </c>
      <c r="G11" s="1">
        <v>1151</v>
      </c>
      <c r="H11" s="1">
        <v>1171.5</v>
      </c>
      <c r="I11" s="1">
        <v>1147.5999999999999</v>
      </c>
      <c r="J11" s="1">
        <v>17.100000000000001</v>
      </c>
      <c r="K11" s="1">
        <v>57.1</v>
      </c>
      <c r="L11" s="16">
        <v>1000.3</v>
      </c>
      <c r="M11" s="1">
        <v>127.8</v>
      </c>
      <c r="N11" s="1">
        <v>106</v>
      </c>
      <c r="O11" s="1">
        <v>6</v>
      </c>
      <c r="P11" s="1">
        <v>1.2050000000000001</v>
      </c>
      <c r="Q11" s="1">
        <v>58.32</v>
      </c>
      <c r="R11" s="1">
        <v>48.48</v>
      </c>
      <c r="S11" s="1">
        <v>39.35</v>
      </c>
      <c r="T11" s="11">
        <v>12.58</v>
      </c>
    </row>
    <row r="12" spans="2:20" ht="14.3" customHeight="1" x14ac:dyDescent="0.25">
      <c r="B12" s="2"/>
      <c r="C12" s="7">
        <v>46102.99513865741</v>
      </c>
      <c r="D12" s="1">
        <v>6</v>
      </c>
      <c r="E12" s="1">
        <v>3</v>
      </c>
      <c r="F12" s="1">
        <v>2755</v>
      </c>
      <c r="G12" s="1">
        <v>1310</v>
      </c>
      <c r="H12" s="1">
        <v>115</v>
      </c>
      <c r="I12" s="1">
        <v>1147.5999999999999</v>
      </c>
      <c r="J12" s="1">
        <v>16.7</v>
      </c>
      <c r="K12" s="1">
        <v>57.3</v>
      </c>
      <c r="L12" s="16">
        <v>100.2</v>
      </c>
      <c r="M12" s="1">
        <v>155.30000000000001</v>
      </c>
      <c r="N12" s="1">
        <v>129</v>
      </c>
      <c r="O12" s="1">
        <v>7</v>
      </c>
      <c r="P12" s="1">
        <v>1.204</v>
      </c>
      <c r="Q12" s="1">
        <v>25.09</v>
      </c>
      <c r="R12" s="1">
        <v>30.88</v>
      </c>
      <c r="S12" s="1">
        <v>20.11</v>
      </c>
      <c r="T12" s="11">
        <v>12.54</v>
      </c>
    </row>
    <row r="13" spans="2:20" ht="14.3" customHeight="1" x14ac:dyDescent="0.25">
      <c r="B13" s="2"/>
      <c r="C13" s="7">
        <v>46103.036805266202</v>
      </c>
      <c r="D13" s="1">
        <v>1</v>
      </c>
      <c r="E13" s="1">
        <v>3</v>
      </c>
      <c r="F13" s="1">
        <v>2915</v>
      </c>
      <c r="G13" s="1">
        <v>1443</v>
      </c>
      <c r="H13" s="1">
        <v>1159.2</v>
      </c>
      <c r="I13" s="1">
        <v>1142.8</v>
      </c>
      <c r="J13" s="1">
        <v>16.399999999999999</v>
      </c>
      <c r="K13" s="1">
        <v>57.6</v>
      </c>
      <c r="L13" s="16">
        <v>100.2</v>
      </c>
      <c r="M13" s="1">
        <v>120.3</v>
      </c>
      <c r="N13" s="1">
        <v>100</v>
      </c>
      <c r="O13" s="1">
        <v>8</v>
      </c>
      <c r="P13" s="1">
        <v>1.2030000000000001</v>
      </c>
      <c r="Q13" s="1">
        <v>81.03</v>
      </c>
      <c r="R13" s="1">
        <v>60.51</v>
      </c>
      <c r="S13" s="1">
        <v>50.21</v>
      </c>
      <c r="T13" s="11">
        <v>12.51</v>
      </c>
    </row>
    <row r="14" spans="2:20" ht="14.3" customHeight="1" x14ac:dyDescent="0.25">
      <c r="B14" s="2"/>
      <c r="C14" s="7">
        <v>46103.078471875</v>
      </c>
      <c r="D14" s="1">
        <v>2</v>
      </c>
      <c r="E14" s="1">
        <v>1</v>
      </c>
      <c r="F14" s="1">
        <v>3071</v>
      </c>
      <c r="G14" s="1">
        <v>1571</v>
      </c>
      <c r="H14" s="1">
        <v>1107.5999999999999</v>
      </c>
      <c r="I14" s="1">
        <v>1145.2</v>
      </c>
      <c r="J14" s="1">
        <v>17.2</v>
      </c>
      <c r="K14" s="1">
        <v>56.6</v>
      </c>
      <c r="L14" s="16">
        <v>1000.1</v>
      </c>
      <c r="M14" s="1">
        <v>107.1</v>
      </c>
      <c r="N14" s="1">
        <v>89</v>
      </c>
      <c r="O14" s="1">
        <v>9</v>
      </c>
      <c r="P14" s="1">
        <v>1.204</v>
      </c>
      <c r="Q14" s="1">
        <v>207.33</v>
      </c>
      <c r="R14" s="1">
        <v>127.46</v>
      </c>
      <c r="S14" s="1">
        <v>93.23</v>
      </c>
      <c r="T14" s="11">
        <v>12.46</v>
      </c>
    </row>
    <row r="15" spans="2:20" ht="14.3" customHeight="1" x14ac:dyDescent="0.25">
      <c r="B15" s="2"/>
      <c r="C15" s="7">
        <v>46103.120138483799</v>
      </c>
      <c r="D15" s="1">
        <v>1</v>
      </c>
      <c r="E15" s="1">
        <v>2</v>
      </c>
      <c r="F15" s="1">
        <v>3223</v>
      </c>
      <c r="G15" s="1">
        <v>1697</v>
      </c>
      <c r="H15" s="1">
        <v>1161.5999999999999</v>
      </c>
      <c r="I15" s="1">
        <v>1145.2</v>
      </c>
      <c r="J15" s="1">
        <v>17.399999999999999</v>
      </c>
      <c r="K15" s="1">
        <v>56.3</v>
      </c>
      <c r="L15" s="16">
        <v>1000</v>
      </c>
      <c r="M15" s="1">
        <v>105.9</v>
      </c>
      <c r="N15" s="1">
        <v>88</v>
      </c>
      <c r="O15" s="1">
        <v>10</v>
      </c>
      <c r="P15" s="1">
        <v>1.204</v>
      </c>
      <c r="Q15" s="1">
        <v>238.01</v>
      </c>
      <c r="R15" s="1">
        <v>147.72999999999999</v>
      </c>
      <c r="S15" s="1">
        <v>101.71</v>
      </c>
      <c r="T15" s="11">
        <v>12.42</v>
      </c>
    </row>
    <row r="16" spans="2:20" ht="14.3" customHeight="1" x14ac:dyDescent="0.25">
      <c r="B16" s="2"/>
      <c r="C16" s="7">
        <v>46103.16180509259</v>
      </c>
      <c r="D16" s="1">
        <v>1</v>
      </c>
      <c r="E16" s="1">
        <v>3</v>
      </c>
      <c r="F16" s="1">
        <v>3381</v>
      </c>
      <c r="G16" s="1">
        <v>1845</v>
      </c>
      <c r="H16" s="1">
        <v>1132.2</v>
      </c>
      <c r="I16" s="1">
        <v>1147.5999999999999</v>
      </c>
      <c r="J16" s="1">
        <v>16.600000000000001</v>
      </c>
      <c r="K16" s="1">
        <v>58.2</v>
      </c>
      <c r="L16" s="16">
        <v>999.9</v>
      </c>
      <c r="M16" s="1">
        <v>114.1</v>
      </c>
      <c r="N16" s="1">
        <v>95</v>
      </c>
      <c r="O16" s="1">
        <v>11</v>
      </c>
      <c r="P16" s="1">
        <v>1.2010000000000001</v>
      </c>
      <c r="Q16" s="1">
        <v>115.6</v>
      </c>
      <c r="R16" s="1">
        <v>78.83</v>
      </c>
      <c r="S16" s="1">
        <v>63.62</v>
      </c>
      <c r="T16" s="11">
        <v>12.38</v>
      </c>
    </row>
    <row r="17" spans="2:20" ht="14.3" customHeight="1" x14ac:dyDescent="0.25">
      <c r="B17" s="2"/>
      <c r="C17" s="7">
        <v>46103.203471701388</v>
      </c>
      <c r="D17" s="1">
        <v>4</v>
      </c>
      <c r="E17" s="1">
        <v>5</v>
      </c>
      <c r="F17" s="1">
        <v>3543</v>
      </c>
      <c r="G17" s="1">
        <v>1985</v>
      </c>
      <c r="H17" s="1">
        <v>1117.4000000000001</v>
      </c>
      <c r="I17" s="1">
        <v>1147.5999999999999</v>
      </c>
      <c r="J17" s="1">
        <v>16.2</v>
      </c>
      <c r="K17" s="1">
        <v>58.7</v>
      </c>
      <c r="L17" s="16">
        <v>1000.1</v>
      </c>
      <c r="M17" s="1">
        <v>163.4</v>
      </c>
      <c r="N17" s="1">
        <v>136</v>
      </c>
      <c r="O17" s="1">
        <v>11</v>
      </c>
      <c r="P17" s="1">
        <v>1.2010000000000001</v>
      </c>
      <c r="Q17" s="1">
        <v>20.6</v>
      </c>
      <c r="R17" s="1">
        <v>28.5</v>
      </c>
      <c r="S17" s="1">
        <v>17.05</v>
      </c>
      <c r="T17" s="11">
        <v>12.34</v>
      </c>
    </row>
    <row r="18" spans="2:20" ht="14.3" customHeight="1" x14ac:dyDescent="0.25">
      <c r="B18" s="2"/>
      <c r="C18" s="7">
        <v>46103.245138310187</v>
      </c>
      <c r="D18" s="1">
        <v>4</v>
      </c>
      <c r="E18" s="1">
        <v>5</v>
      </c>
      <c r="F18" s="1">
        <v>3644</v>
      </c>
      <c r="G18" s="1">
        <v>2094</v>
      </c>
      <c r="H18" s="1">
        <v>1110.0999999999999</v>
      </c>
      <c r="I18" s="1">
        <v>1145.2</v>
      </c>
      <c r="J18" s="1">
        <v>15.69</v>
      </c>
      <c r="K18" s="1">
        <v>59.2</v>
      </c>
      <c r="L18" s="16">
        <v>1000.2</v>
      </c>
      <c r="M18" s="1">
        <v>104.5</v>
      </c>
      <c r="N18" s="1">
        <v>87</v>
      </c>
      <c r="O18" s="1">
        <v>11</v>
      </c>
      <c r="P18" s="1">
        <v>1.202</v>
      </c>
      <c r="Q18" s="1">
        <v>286.55</v>
      </c>
      <c r="R18" s="1">
        <v>169.49</v>
      </c>
      <c r="S18" s="1">
        <v>119.35</v>
      </c>
      <c r="T18" s="11">
        <v>12.29</v>
      </c>
    </row>
    <row r="19" spans="2:20" ht="14.3" customHeight="1" x14ac:dyDescent="0.25">
      <c r="B19" s="2"/>
      <c r="C19" s="7">
        <v>46103.286804918978</v>
      </c>
      <c r="D19" s="1">
        <v>0</v>
      </c>
      <c r="E19" s="1">
        <v>1</v>
      </c>
      <c r="F19" s="1">
        <v>3773</v>
      </c>
      <c r="G19" s="1">
        <v>2215</v>
      </c>
      <c r="H19" s="1">
        <v>1129.7</v>
      </c>
      <c r="I19" s="1">
        <v>1142.8</v>
      </c>
      <c r="J19" s="1">
        <v>14.9</v>
      </c>
      <c r="K19" s="1">
        <v>59.9</v>
      </c>
      <c r="L19" s="16">
        <v>1000.5</v>
      </c>
      <c r="M19" s="1">
        <v>137</v>
      </c>
      <c r="N19" s="1">
        <v>114</v>
      </c>
      <c r="O19" s="1">
        <v>11</v>
      </c>
      <c r="P19" s="1">
        <v>1.202</v>
      </c>
      <c r="Q19" s="1">
        <v>41.97</v>
      </c>
      <c r="R19" s="1">
        <v>39.82</v>
      </c>
      <c r="S19" s="1">
        <v>31.09</v>
      </c>
      <c r="T19" s="11">
        <v>12.23</v>
      </c>
    </row>
    <row r="20" spans="2:20" ht="14.3" customHeight="1" x14ac:dyDescent="0.25">
      <c r="B20" s="2"/>
      <c r="C20" s="7">
        <v>46103.328471527777</v>
      </c>
      <c r="D20" s="1">
        <v>0</v>
      </c>
      <c r="E20" s="1">
        <v>2</v>
      </c>
      <c r="F20" s="1">
        <v>3893</v>
      </c>
      <c r="G20" s="1">
        <v>2299</v>
      </c>
      <c r="H20" s="1">
        <v>1161.5999999999999</v>
      </c>
      <c r="I20" s="1">
        <v>1145.2</v>
      </c>
      <c r="J20" s="1">
        <v>17.5</v>
      </c>
      <c r="K20" s="1">
        <v>57.2</v>
      </c>
      <c r="L20" s="16">
        <v>1001</v>
      </c>
      <c r="M20" s="1">
        <v>105.4</v>
      </c>
      <c r="N20" s="1">
        <v>87</v>
      </c>
      <c r="O20" s="1">
        <v>11</v>
      </c>
      <c r="P20" s="1">
        <v>1.2110000000000001</v>
      </c>
      <c r="Q20" s="1">
        <v>255.17</v>
      </c>
      <c r="R20" s="1">
        <v>152.83000000000001</v>
      </c>
      <c r="S20" s="1">
        <v>106.14</v>
      </c>
      <c r="T20" s="11">
        <v>12.25</v>
      </c>
    </row>
    <row r="21" spans="2:20" ht="14.3" customHeight="1" x14ac:dyDescent="0.25">
      <c r="B21" s="2"/>
      <c r="C21" s="7">
        <v>46103.370138136575</v>
      </c>
      <c r="D21" s="1">
        <v>1</v>
      </c>
      <c r="E21" s="1">
        <v>3</v>
      </c>
      <c r="F21" s="1">
        <v>3999</v>
      </c>
      <c r="G21" s="1">
        <v>2397</v>
      </c>
      <c r="H21" s="1">
        <v>1132.2</v>
      </c>
      <c r="I21" s="1">
        <v>1147.5999999999999</v>
      </c>
      <c r="J21" s="1">
        <v>20.6</v>
      </c>
      <c r="K21" s="1">
        <v>55.5</v>
      </c>
      <c r="L21" s="16">
        <v>1001.4</v>
      </c>
      <c r="M21" s="1">
        <v>106.6</v>
      </c>
      <c r="N21" s="1">
        <v>87</v>
      </c>
      <c r="O21" s="1">
        <v>11</v>
      </c>
      <c r="P21" s="1">
        <v>1.226</v>
      </c>
      <c r="Q21" s="1">
        <v>218.54</v>
      </c>
      <c r="R21" s="1">
        <v>133.41</v>
      </c>
      <c r="S21" s="1">
        <v>89.18</v>
      </c>
      <c r="T21" s="11">
        <v>12.42</v>
      </c>
    </row>
    <row r="22" spans="2:20" ht="14.3" customHeight="1" x14ac:dyDescent="0.25">
      <c r="B22" s="2"/>
      <c r="C22" s="7">
        <v>46103.411804745374</v>
      </c>
      <c r="D22" s="1">
        <v>0</v>
      </c>
      <c r="E22" s="1">
        <v>1</v>
      </c>
      <c r="F22" s="1">
        <v>4152</v>
      </c>
      <c r="G22" s="1">
        <v>2565</v>
      </c>
      <c r="H22" s="1">
        <v>1139.5</v>
      </c>
      <c r="I22" s="1">
        <v>1159.8</v>
      </c>
      <c r="J22" s="1">
        <v>25.1</v>
      </c>
      <c r="K22" s="1">
        <v>52.2</v>
      </c>
      <c r="L22" s="16">
        <v>1001.6</v>
      </c>
      <c r="M22" s="1">
        <v>111.7</v>
      </c>
      <c r="N22" s="1">
        <v>90</v>
      </c>
      <c r="O22" s="1">
        <v>12</v>
      </c>
      <c r="P22" s="1">
        <v>1.242</v>
      </c>
      <c r="Q22" s="1">
        <v>136.57</v>
      </c>
      <c r="R22" s="1">
        <v>89.94</v>
      </c>
      <c r="S22" s="1">
        <v>62.51</v>
      </c>
      <c r="T22" s="11">
        <v>12.77</v>
      </c>
    </row>
    <row r="23" spans="2:20" ht="14.3" customHeight="1" x14ac:dyDescent="0.25">
      <c r="B23" s="2"/>
      <c r="C23" s="7">
        <v>46103.453471354165</v>
      </c>
      <c r="D23" s="1">
        <v>4</v>
      </c>
      <c r="E23" s="1">
        <v>0</v>
      </c>
      <c r="F23" s="1">
        <v>4446</v>
      </c>
      <c r="G23" s="1">
        <v>2661</v>
      </c>
      <c r="H23" s="1">
        <v>1139.5</v>
      </c>
      <c r="I23" s="1">
        <v>1164.7</v>
      </c>
      <c r="J23" s="1">
        <v>27.9</v>
      </c>
      <c r="K23" s="1">
        <v>50.3</v>
      </c>
      <c r="L23" s="16">
        <v>1001.6</v>
      </c>
      <c r="M23" s="1">
        <v>181.5</v>
      </c>
      <c r="N23" s="1">
        <v>145</v>
      </c>
      <c r="O23" s="1">
        <v>13</v>
      </c>
      <c r="P23" s="1">
        <v>1.252</v>
      </c>
      <c r="Q23" s="1">
        <v>13.68</v>
      </c>
      <c r="R23" s="1">
        <v>24.83</v>
      </c>
      <c r="S23" s="1">
        <v>-27.64</v>
      </c>
      <c r="T23" s="11">
        <v>12.86</v>
      </c>
    </row>
    <row r="24" spans="2:20" ht="14.3" customHeight="1" x14ac:dyDescent="0.25">
      <c r="B24" s="2"/>
      <c r="C24" s="20">
        <v>46103.495137962964</v>
      </c>
      <c r="D24" s="5">
        <v>11</v>
      </c>
      <c r="E24" s="1">
        <v>3</v>
      </c>
      <c r="F24" s="5">
        <v>5013</v>
      </c>
      <c r="G24" s="1">
        <v>2791</v>
      </c>
      <c r="H24" s="1">
        <v>1159.2</v>
      </c>
      <c r="I24" s="1">
        <v>1179.4000000000001</v>
      </c>
      <c r="J24" s="1">
        <v>32.9</v>
      </c>
      <c r="K24" s="1">
        <v>45.8</v>
      </c>
      <c r="L24" s="16">
        <v>1001.3</v>
      </c>
      <c r="M24" s="5">
        <v>337.4</v>
      </c>
      <c r="N24" s="5">
        <v>266</v>
      </c>
      <c r="O24" s="1">
        <v>14</v>
      </c>
      <c r="P24" s="1">
        <v>1.268</v>
      </c>
      <c r="Q24" s="1">
        <v>-2.68</v>
      </c>
      <c r="R24" s="1">
        <v>16.170000000000002</v>
      </c>
      <c r="S24" s="1">
        <v>-50.81</v>
      </c>
      <c r="T24" s="11">
        <v>13.07</v>
      </c>
    </row>
    <row r="25" spans="2:20" ht="14.3" customHeight="1" x14ac:dyDescent="0.25">
      <c r="B25" s="2"/>
      <c r="C25" s="20">
        <v>46103.536804571762</v>
      </c>
      <c r="D25" s="5">
        <v>28</v>
      </c>
      <c r="E25" s="1">
        <v>4</v>
      </c>
      <c r="F25" s="5">
        <v>6281</v>
      </c>
      <c r="G25" s="1">
        <v>2910</v>
      </c>
      <c r="H25" s="1">
        <v>1164.0999999999999</v>
      </c>
      <c r="I25" s="1">
        <v>1186.7</v>
      </c>
      <c r="J25" s="1">
        <v>38.1</v>
      </c>
      <c r="K25" s="1">
        <v>41.4</v>
      </c>
      <c r="L25" s="16">
        <v>1001.4</v>
      </c>
      <c r="M25" s="5">
        <v>804.7</v>
      </c>
      <c r="N25" s="5">
        <v>625</v>
      </c>
      <c r="O25" s="1">
        <v>15</v>
      </c>
      <c r="P25" s="1">
        <v>1.2869999999999999</v>
      </c>
      <c r="Q25" s="1">
        <v>-8.51</v>
      </c>
      <c r="R25" s="1">
        <v>13.08</v>
      </c>
      <c r="S25" s="1">
        <v>-331.29</v>
      </c>
      <c r="T25" s="11">
        <v>13.38</v>
      </c>
    </row>
    <row r="26" spans="2:20" ht="14.3" customHeight="1" x14ac:dyDescent="0.25">
      <c r="B26" s="2"/>
      <c r="C26" s="20">
        <v>46103.578471180554</v>
      </c>
      <c r="D26" s="5">
        <v>16</v>
      </c>
      <c r="E26" s="1">
        <v>1</v>
      </c>
      <c r="F26" s="5">
        <v>7919</v>
      </c>
      <c r="G26" s="1">
        <v>3027</v>
      </c>
      <c r="H26" s="1">
        <v>1142</v>
      </c>
      <c r="I26" s="1">
        <v>1194</v>
      </c>
      <c r="J26" s="1">
        <v>41</v>
      </c>
      <c r="K26" s="1">
        <v>39.299999999999997</v>
      </c>
      <c r="L26" s="16">
        <v>1000.9</v>
      </c>
      <c r="M26" s="5">
        <v>1144</v>
      </c>
      <c r="N26" s="5">
        <v>883</v>
      </c>
      <c r="O26" s="1">
        <v>16</v>
      </c>
      <c r="P26" s="1">
        <v>1.296</v>
      </c>
      <c r="Q26" s="1">
        <v>-9.48</v>
      </c>
      <c r="R26" s="1">
        <v>12.57</v>
      </c>
      <c r="S26" s="1">
        <v>-625.95000000000005</v>
      </c>
      <c r="T26" s="11">
        <v>13.63</v>
      </c>
    </row>
    <row r="27" spans="2:20" ht="14.3" customHeight="1" x14ac:dyDescent="0.25">
      <c r="B27" s="2"/>
      <c r="C27" s="20">
        <v>46103.620137789352</v>
      </c>
      <c r="D27" s="5">
        <v>6</v>
      </c>
      <c r="E27" s="1">
        <v>3</v>
      </c>
      <c r="F27" s="5">
        <v>8732</v>
      </c>
      <c r="G27" s="1">
        <v>3135</v>
      </c>
      <c r="H27" s="1">
        <v>1198.5</v>
      </c>
      <c r="I27" s="1">
        <v>1189.2</v>
      </c>
      <c r="J27" s="1">
        <v>38.799999999999997</v>
      </c>
      <c r="K27" s="1">
        <v>42.5</v>
      </c>
      <c r="L27" s="16">
        <v>1000.3</v>
      </c>
      <c r="M27" s="5">
        <v>590.6</v>
      </c>
      <c r="N27" s="5">
        <v>459</v>
      </c>
      <c r="O27" s="1">
        <v>16</v>
      </c>
      <c r="P27" s="1">
        <v>1.2869999999999999</v>
      </c>
      <c r="Q27" s="1">
        <v>-7.21</v>
      </c>
      <c r="R27" s="1">
        <v>13.77</v>
      </c>
      <c r="S27" s="1">
        <v>-159.94</v>
      </c>
      <c r="T27" s="11">
        <v>14.15</v>
      </c>
    </row>
    <row r="28" spans="2:20" ht="14.3" customHeight="1" x14ac:dyDescent="0.25">
      <c r="B28" s="2"/>
      <c r="C28" s="20">
        <v>46103.661804398151</v>
      </c>
      <c r="D28" s="5">
        <v>6</v>
      </c>
      <c r="E28" s="1">
        <v>1</v>
      </c>
      <c r="F28" s="5">
        <v>9157</v>
      </c>
      <c r="G28" s="1">
        <v>3255</v>
      </c>
      <c r="H28" s="1">
        <v>1127.2</v>
      </c>
      <c r="I28" s="1">
        <v>1191.5999999999999</v>
      </c>
      <c r="J28" s="1">
        <v>40.1</v>
      </c>
      <c r="K28" s="1">
        <v>41.5</v>
      </c>
      <c r="L28" s="16">
        <v>1000.1</v>
      </c>
      <c r="M28" s="5">
        <v>342.1</v>
      </c>
      <c r="N28" s="5">
        <v>265</v>
      </c>
      <c r="O28" s="1">
        <v>16</v>
      </c>
      <c r="P28" s="1">
        <v>1.2909999999999999</v>
      </c>
      <c r="Q28" s="1">
        <v>-2.85</v>
      </c>
      <c r="R28" s="1">
        <v>16.079999999999998</v>
      </c>
      <c r="S28" s="1">
        <v>-53.27</v>
      </c>
      <c r="T28" s="11">
        <v>14.35</v>
      </c>
    </row>
    <row r="29" spans="2:20" ht="14.3" customHeight="1" x14ac:dyDescent="0.25">
      <c r="B29" s="2"/>
      <c r="C29" s="7">
        <v>46103.703471006942</v>
      </c>
      <c r="D29" s="1">
        <v>0</v>
      </c>
      <c r="E29" s="1">
        <v>0</v>
      </c>
      <c r="F29" s="1">
        <v>9392</v>
      </c>
      <c r="G29" s="1">
        <v>3387</v>
      </c>
      <c r="H29" s="1">
        <v>1196</v>
      </c>
      <c r="I29" s="1">
        <v>1191.5999999999999</v>
      </c>
      <c r="J29" s="1">
        <v>37.299999999999997</v>
      </c>
      <c r="K29" s="1">
        <v>45.5</v>
      </c>
      <c r="L29" s="16">
        <v>1000.2</v>
      </c>
      <c r="M29" s="1">
        <v>232.7</v>
      </c>
      <c r="N29" s="1">
        <v>181</v>
      </c>
      <c r="O29" s="1">
        <v>16</v>
      </c>
      <c r="P29" s="1">
        <v>1.286</v>
      </c>
      <c r="Q29" s="1">
        <v>4.1500000000000004</v>
      </c>
      <c r="R29" s="1">
        <v>19.79</v>
      </c>
      <c r="S29" s="1">
        <v>-38.979999999999997</v>
      </c>
      <c r="T29" s="11">
        <v>13.75</v>
      </c>
    </row>
    <row r="30" spans="2:20" ht="14.3" customHeight="1" x14ac:dyDescent="0.25">
      <c r="B30" s="2"/>
      <c r="C30" s="7">
        <v>46103.745137615741</v>
      </c>
      <c r="D30" s="1">
        <v>3</v>
      </c>
      <c r="E30" s="1">
        <v>4</v>
      </c>
      <c r="F30" s="1">
        <v>9594</v>
      </c>
      <c r="G30" s="1">
        <v>3523</v>
      </c>
      <c r="H30" s="1">
        <v>1110.0999999999999</v>
      </c>
      <c r="I30" s="1">
        <v>1174.5</v>
      </c>
      <c r="J30" s="1">
        <v>29</v>
      </c>
      <c r="K30" s="1">
        <v>52.7</v>
      </c>
      <c r="L30" s="16">
        <v>1000.4</v>
      </c>
      <c r="M30" s="1">
        <v>189.3</v>
      </c>
      <c r="N30" s="1">
        <v>151</v>
      </c>
      <c r="O30" s="1">
        <v>16</v>
      </c>
      <c r="P30" s="1">
        <v>1.2529999999999999</v>
      </c>
      <c r="Q30" s="1">
        <v>11.55</v>
      </c>
      <c r="R30" s="1">
        <v>23.71</v>
      </c>
      <c r="S30" s="1">
        <v>-29.73</v>
      </c>
      <c r="T30" s="11">
        <v>12.98</v>
      </c>
    </row>
    <row r="31" spans="2:20" ht="14.3" customHeight="1" x14ac:dyDescent="0.25">
      <c r="B31" s="2"/>
      <c r="C31" s="7">
        <v>46103.786804224539</v>
      </c>
      <c r="D31" s="1">
        <v>2</v>
      </c>
      <c r="E31" s="1">
        <v>0</v>
      </c>
      <c r="F31" s="1">
        <v>9753</v>
      </c>
      <c r="G31" s="1">
        <v>3739</v>
      </c>
      <c r="H31" s="1">
        <v>1183.7</v>
      </c>
      <c r="I31" s="1">
        <v>1167.2</v>
      </c>
      <c r="J31" s="1">
        <v>24.9</v>
      </c>
      <c r="K31" s="1">
        <v>54.7</v>
      </c>
      <c r="L31" s="16">
        <v>1000.9</v>
      </c>
      <c r="M31" s="1">
        <v>147.69999999999999</v>
      </c>
      <c r="N31" s="1">
        <v>119</v>
      </c>
      <c r="O31" s="1">
        <v>17</v>
      </c>
      <c r="P31" s="1">
        <v>1.2410000000000001</v>
      </c>
      <c r="Q31" s="1">
        <v>30.62</v>
      </c>
      <c r="R31" s="1">
        <v>33.799999999999997</v>
      </c>
      <c r="S31" s="1">
        <v>21.34</v>
      </c>
      <c r="T31" s="11">
        <v>12.81</v>
      </c>
    </row>
    <row r="32" spans="2:20" ht="14.3" customHeight="1" x14ac:dyDescent="0.25">
      <c r="B32" s="2"/>
      <c r="C32" s="7">
        <v>46103.82916666667</v>
      </c>
      <c r="D32" s="1">
        <v>1</v>
      </c>
      <c r="E32" s="1">
        <v>1</v>
      </c>
      <c r="F32" s="1">
        <v>9886</v>
      </c>
      <c r="G32" s="1">
        <v>3864</v>
      </c>
      <c r="H32" s="1">
        <v>1176.4000000000001</v>
      </c>
      <c r="I32" s="1">
        <v>1162.3</v>
      </c>
      <c r="J32" s="1">
        <v>23.2</v>
      </c>
      <c r="K32" s="1">
        <v>54</v>
      </c>
      <c r="L32" s="16">
        <v>1001.1</v>
      </c>
      <c r="M32" s="1">
        <v>143.1</v>
      </c>
      <c r="N32" s="1">
        <v>116</v>
      </c>
      <c r="O32" s="1">
        <v>17</v>
      </c>
      <c r="P32" s="1">
        <v>1.234</v>
      </c>
      <c r="Q32" s="1">
        <v>34.85</v>
      </c>
      <c r="R32" s="1">
        <v>36.049999999999997</v>
      </c>
      <c r="S32" s="1">
        <v>24.47</v>
      </c>
      <c r="T32" s="11">
        <v>12.74</v>
      </c>
    </row>
    <row r="33" spans="2:20" ht="14.3" customHeight="1" x14ac:dyDescent="0.25">
      <c r="B33" s="2"/>
      <c r="C33" s="7">
        <v>46103.870833333334</v>
      </c>
      <c r="D33" s="1">
        <v>6</v>
      </c>
      <c r="E33" s="1">
        <v>3</v>
      </c>
      <c r="F33" s="1">
        <v>10010</v>
      </c>
      <c r="G33" s="1">
        <v>3995</v>
      </c>
      <c r="H33" s="1">
        <v>119.9</v>
      </c>
      <c r="I33" s="1">
        <v>1155</v>
      </c>
      <c r="J33" s="1">
        <v>19.8</v>
      </c>
      <c r="K33" s="1">
        <v>57.3</v>
      </c>
      <c r="L33" s="16">
        <v>1001.8</v>
      </c>
      <c r="M33" s="1">
        <v>135.19999999999999</v>
      </c>
      <c r="N33" s="1">
        <v>110</v>
      </c>
      <c r="O33" s="1">
        <v>17</v>
      </c>
      <c r="P33" s="1">
        <v>1.2290000000000001</v>
      </c>
      <c r="Q33" s="1">
        <v>44.53</v>
      </c>
      <c r="R33" s="1">
        <v>41.17</v>
      </c>
      <c r="S33" s="1">
        <v>30.74</v>
      </c>
      <c r="T33" s="11">
        <v>12.66</v>
      </c>
    </row>
    <row r="34" spans="2:20" ht="14.3" customHeight="1" x14ac:dyDescent="0.25">
      <c r="B34" s="2"/>
      <c r="C34" s="7">
        <v>46103.912499999999</v>
      </c>
      <c r="D34" s="1">
        <v>3</v>
      </c>
      <c r="E34" s="1">
        <v>0</v>
      </c>
      <c r="F34" s="1">
        <v>10149</v>
      </c>
      <c r="G34" s="1">
        <v>4100</v>
      </c>
      <c r="H34" s="1">
        <v>1154.3</v>
      </c>
      <c r="I34" s="1">
        <v>1150.0999999999999</v>
      </c>
      <c r="J34" s="1">
        <v>17.8</v>
      </c>
      <c r="K34" s="1">
        <v>58.1</v>
      </c>
      <c r="L34" s="16">
        <v>1002.2</v>
      </c>
      <c r="M34" s="1">
        <v>137.4</v>
      </c>
      <c r="N34" s="1">
        <v>112</v>
      </c>
      <c r="O34" s="1">
        <v>17</v>
      </c>
      <c r="P34" s="1">
        <v>1.2270000000000001</v>
      </c>
      <c r="Q34" s="1">
        <v>41.45</v>
      </c>
      <c r="R34" s="1">
        <v>39.54</v>
      </c>
      <c r="S34" s="1">
        <v>29.82</v>
      </c>
      <c r="T34" s="11">
        <v>12.6</v>
      </c>
    </row>
    <row r="35" spans="2:20" ht="14.3" customHeight="1" x14ac:dyDescent="0.25">
      <c r="B35" s="2"/>
      <c r="C35" s="7">
        <v>46103.95416666667</v>
      </c>
      <c r="D35" s="1">
        <v>0</v>
      </c>
      <c r="E35" s="1">
        <v>0</v>
      </c>
      <c r="F35" s="1">
        <v>10259</v>
      </c>
      <c r="G35" s="1">
        <v>4196</v>
      </c>
      <c r="H35" s="1">
        <v>1115</v>
      </c>
      <c r="I35" s="1">
        <v>1147.5999999999999</v>
      </c>
      <c r="J35" s="1">
        <v>16.600000000000001</v>
      </c>
      <c r="K35" s="1">
        <v>58.5</v>
      </c>
      <c r="L35" s="16">
        <v>1002.4</v>
      </c>
      <c r="M35" s="1">
        <v>109</v>
      </c>
      <c r="N35" s="1">
        <v>89</v>
      </c>
      <c r="O35" s="1">
        <v>17</v>
      </c>
      <c r="P35" s="1">
        <v>1.2250000000000001</v>
      </c>
      <c r="Q35" s="1">
        <v>171.54</v>
      </c>
      <c r="R35" s="1">
        <v>108.48</v>
      </c>
      <c r="S35" s="1">
        <v>82.13</v>
      </c>
      <c r="T35" s="11">
        <v>12.54</v>
      </c>
    </row>
    <row r="36" spans="2:20" ht="14.3" customHeight="1" x14ac:dyDescent="0.25">
      <c r="B36" s="2"/>
      <c r="C36" s="7">
        <v>46103.995833333334</v>
      </c>
      <c r="D36" s="1">
        <v>2</v>
      </c>
      <c r="E36" s="1">
        <v>1</v>
      </c>
      <c r="F36" s="1">
        <v>10373</v>
      </c>
      <c r="G36" s="1">
        <v>4330</v>
      </c>
      <c r="H36" s="1">
        <v>1139.5</v>
      </c>
      <c r="I36" s="1">
        <v>1142.8</v>
      </c>
      <c r="J36" s="1">
        <v>15.6</v>
      </c>
      <c r="K36" s="1">
        <v>59</v>
      </c>
      <c r="L36" s="16">
        <v>1002.6</v>
      </c>
      <c r="M36" s="1">
        <v>127.3</v>
      </c>
      <c r="N36" s="1">
        <v>104</v>
      </c>
      <c r="O36" s="1">
        <v>17</v>
      </c>
      <c r="P36" s="1">
        <v>1.224</v>
      </c>
      <c r="Q36" s="1">
        <v>59.54</v>
      </c>
      <c r="R36" s="1">
        <v>49.08</v>
      </c>
      <c r="S36" s="1">
        <v>40.32</v>
      </c>
      <c r="T36" s="11">
        <v>12.49</v>
      </c>
    </row>
    <row r="37" spans="2:20" ht="14.3" customHeight="1" x14ac:dyDescent="0.25">
      <c r="B37" s="2"/>
      <c r="C37" s="7">
        <v>46104.036805555559</v>
      </c>
      <c r="D37" s="1">
        <v>1</v>
      </c>
      <c r="E37" s="1">
        <v>3</v>
      </c>
      <c r="F37" s="1">
        <v>10491</v>
      </c>
      <c r="G37" s="1">
        <v>4457</v>
      </c>
      <c r="H37" s="1">
        <v>1137.0999999999999</v>
      </c>
      <c r="I37" s="1">
        <v>1145.2</v>
      </c>
      <c r="J37" s="1">
        <v>15.1</v>
      </c>
      <c r="K37" s="1">
        <v>59.4</v>
      </c>
      <c r="L37" s="16">
        <v>1002.4</v>
      </c>
      <c r="M37" s="1">
        <v>134.30000000000001</v>
      </c>
      <c r="N37" s="1">
        <v>110</v>
      </c>
      <c r="O37" s="1">
        <v>17</v>
      </c>
      <c r="P37" s="1">
        <v>1.2210000000000001</v>
      </c>
      <c r="Q37" s="1">
        <v>45.99</v>
      </c>
      <c r="R37" s="1">
        <v>41.95</v>
      </c>
      <c r="S37" s="1">
        <v>33.380000000000003</v>
      </c>
      <c r="T37" s="11">
        <v>12.43</v>
      </c>
    </row>
    <row r="38" spans="2:20" ht="14.3" customHeight="1" x14ac:dyDescent="0.25">
      <c r="B38" s="2"/>
      <c r="C38" s="7">
        <v>46104.078472222223</v>
      </c>
      <c r="D38" s="1">
        <v>4</v>
      </c>
      <c r="E38" s="1">
        <v>0</v>
      </c>
      <c r="F38" s="1">
        <v>10590</v>
      </c>
      <c r="G38" s="1">
        <v>4581</v>
      </c>
      <c r="H38" s="1">
        <v>1112.5</v>
      </c>
      <c r="I38" s="1">
        <v>1142.8</v>
      </c>
      <c r="J38" s="1">
        <v>14.7</v>
      </c>
      <c r="K38" s="1">
        <v>59.3</v>
      </c>
      <c r="L38" s="16">
        <v>1002.5</v>
      </c>
      <c r="M38" s="1">
        <v>118.4</v>
      </c>
      <c r="N38" s="1">
        <v>97</v>
      </c>
      <c r="O38" s="1">
        <v>17</v>
      </c>
      <c r="P38" s="1">
        <v>1.2210000000000001</v>
      </c>
      <c r="Q38" s="1">
        <v>89.53</v>
      </c>
      <c r="R38" s="1">
        <v>65.02</v>
      </c>
      <c r="S38" s="1">
        <v>54.8</v>
      </c>
      <c r="T38" s="11">
        <v>12.37</v>
      </c>
    </row>
    <row r="39" spans="2:20" ht="14.3" customHeight="1" x14ac:dyDescent="0.25">
      <c r="B39" s="2"/>
      <c r="C39" s="7">
        <v>46104.120138888888</v>
      </c>
      <c r="D39" s="1">
        <v>2</v>
      </c>
      <c r="E39" s="1">
        <v>4</v>
      </c>
      <c r="F39" s="1">
        <v>10703</v>
      </c>
      <c r="G39" s="1">
        <v>4712</v>
      </c>
      <c r="H39" s="1">
        <v>1132.2</v>
      </c>
      <c r="I39" s="1">
        <v>1145.2</v>
      </c>
      <c r="J39" s="1">
        <v>14.5</v>
      </c>
      <c r="K39" s="1">
        <v>58.9</v>
      </c>
      <c r="L39" s="16">
        <v>1002.2</v>
      </c>
      <c r="M39" s="1">
        <v>130.19999999999999</v>
      </c>
      <c r="N39" s="1">
        <v>107</v>
      </c>
      <c r="O39" s="1">
        <v>17</v>
      </c>
      <c r="P39" s="1">
        <v>1.2170000000000001</v>
      </c>
      <c r="Q39" s="1">
        <v>53.06</v>
      </c>
      <c r="R39" s="1">
        <v>45.69</v>
      </c>
      <c r="S39" s="1">
        <v>37.57</v>
      </c>
      <c r="T39" s="11">
        <v>12.32</v>
      </c>
    </row>
    <row r="40" spans="2:20" ht="14.3" customHeight="1" x14ac:dyDescent="0.25">
      <c r="B40" s="2"/>
      <c r="C40" s="7">
        <v>46104.161805555559</v>
      </c>
      <c r="D40" s="1">
        <v>1</v>
      </c>
      <c r="E40" s="1">
        <v>2</v>
      </c>
      <c r="F40" s="1">
        <v>10811</v>
      </c>
      <c r="G40" s="1">
        <v>4826</v>
      </c>
      <c r="H40" s="1">
        <v>1146.9000000000001</v>
      </c>
      <c r="I40" s="1">
        <v>1142.8</v>
      </c>
      <c r="J40" s="1">
        <v>14.2</v>
      </c>
      <c r="K40" s="1">
        <v>59.1</v>
      </c>
      <c r="L40" s="16">
        <v>1002</v>
      </c>
      <c r="M40" s="1">
        <v>122.6</v>
      </c>
      <c r="N40" s="1">
        <v>101</v>
      </c>
      <c r="O40" s="1">
        <v>17</v>
      </c>
      <c r="P40" s="1">
        <v>1.214</v>
      </c>
      <c r="Q40" s="1">
        <v>72.55</v>
      </c>
      <c r="R40" s="1">
        <v>56.02</v>
      </c>
      <c r="S40" s="1">
        <v>47.56</v>
      </c>
      <c r="T40" s="11">
        <v>12.26</v>
      </c>
    </row>
    <row r="41" spans="2:20" ht="14.3" customHeight="1" x14ac:dyDescent="0.25">
      <c r="B41" s="2"/>
      <c r="C41" s="7">
        <v>46104.203472222223</v>
      </c>
      <c r="D41" s="1">
        <v>1</v>
      </c>
      <c r="E41" s="1">
        <v>0</v>
      </c>
      <c r="F41" s="1">
        <v>10917</v>
      </c>
      <c r="G41" s="1">
        <v>4647</v>
      </c>
      <c r="H41" s="1">
        <v>1161.5999999999999</v>
      </c>
      <c r="I41" s="1">
        <v>1140.3</v>
      </c>
      <c r="J41" s="1">
        <v>13.9</v>
      </c>
      <c r="K41" s="1">
        <v>58.9</v>
      </c>
      <c r="L41" s="16">
        <v>1002.2</v>
      </c>
      <c r="M41" s="1">
        <v>120.3</v>
      </c>
      <c r="N41" s="1">
        <v>99</v>
      </c>
      <c r="O41" s="1">
        <v>17</v>
      </c>
      <c r="P41" s="1">
        <v>1.2150000000000001</v>
      </c>
      <c r="Q41" s="1">
        <v>81.17</v>
      </c>
      <c r="R41" s="1">
        <v>60.58</v>
      </c>
      <c r="S41" s="1">
        <v>51.79</v>
      </c>
      <c r="T41" s="11">
        <v>12.22</v>
      </c>
    </row>
    <row r="42" spans="2:20" ht="14.3" customHeight="1" x14ac:dyDescent="0.25">
      <c r="B42" s="2"/>
      <c r="C42" s="7">
        <v>46104.245138888888</v>
      </c>
      <c r="D42" s="1">
        <v>0</v>
      </c>
      <c r="E42" s="1">
        <v>1</v>
      </c>
      <c r="F42" s="1">
        <v>11017</v>
      </c>
      <c r="G42" s="1">
        <v>5044</v>
      </c>
      <c r="H42" s="1">
        <v>1164.0999999999999</v>
      </c>
      <c r="I42" s="1">
        <v>1140.3</v>
      </c>
      <c r="J42" s="1">
        <v>13.7</v>
      </c>
      <c r="K42" s="1">
        <v>58.8</v>
      </c>
      <c r="L42" s="16">
        <v>1002.6</v>
      </c>
      <c r="M42" s="1">
        <v>107.2</v>
      </c>
      <c r="N42" s="1">
        <v>88</v>
      </c>
      <c r="O42" s="1">
        <v>17</v>
      </c>
      <c r="P42" s="1">
        <v>1.218</v>
      </c>
      <c r="Q42" s="1">
        <v>205.84</v>
      </c>
      <c r="R42" s="1">
        <v>126.69</v>
      </c>
      <c r="S42" s="1">
        <v>99.59</v>
      </c>
      <c r="T42" s="11">
        <v>12.14</v>
      </c>
    </row>
    <row r="43" spans="2:20" ht="14.3" customHeight="1" x14ac:dyDescent="0.25">
      <c r="B43" s="2"/>
      <c r="C43" s="7">
        <v>46104.286805555559</v>
      </c>
      <c r="D43" s="1">
        <v>0</v>
      </c>
      <c r="E43" s="1">
        <v>3</v>
      </c>
      <c r="F43" s="1">
        <v>1125</v>
      </c>
      <c r="G43" s="1">
        <v>5156</v>
      </c>
      <c r="H43" s="1">
        <v>1078.0999999999999</v>
      </c>
      <c r="I43" s="1">
        <v>1140.3</v>
      </c>
      <c r="J43" s="1">
        <v>14.4</v>
      </c>
      <c r="K43" s="1">
        <v>58.4</v>
      </c>
      <c r="L43" s="16">
        <v>1002.6</v>
      </c>
      <c r="M43" s="1">
        <v>113.4</v>
      </c>
      <c r="N43" s="1">
        <v>93</v>
      </c>
      <c r="O43" s="1">
        <v>17</v>
      </c>
      <c r="P43" s="1">
        <v>1.2190000000000001</v>
      </c>
      <c r="Q43" s="1">
        <v>121.27</v>
      </c>
      <c r="R43" s="1">
        <v>81.83</v>
      </c>
      <c r="S43" s="1">
        <v>68.23</v>
      </c>
      <c r="T43" s="11">
        <v>12.03</v>
      </c>
    </row>
    <row r="44" spans="2:20" ht="14.3" customHeight="1" x14ac:dyDescent="0.25">
      <c r="B44" s="2"/>
      <c r="C44" s="7">
        <v>46104.328472222223</v>
      </c>
      <c r="D44" s="3">
        <v>2</v>
      </c>
      <c r="E44" s="3">
        <v>7</v>
      </c>
      <c r="F44" s="3">
        <v>11224</v>
      </c>
      <c r="G44" s="3">
        <v>5288</v>
      </c>
      <c r="H44" s="3">
        <v>1119.9000000000001</v>
      </c>
      <c r="I44" s="3">
        <v>1147.5999999999999</v>
      </c>
      <c r="J44" s="3">
        <v>18.7</v>
      </c>
      <c r="K44" s="3">
        <v>57.4</v>
      </c>
      <c r="L44" s="17">
        <v>1002.9</v>
      </c>
      <c r="M44" s="3">
        <v>120.9</v>
      </c>
      <c r="N44" s="3">
        <v>98</v>
      </c>
      <c r="O44" s="3">
        <v>17</v>
      </c>
      <c r="P44" s="3">
        <v>1.234</v>
      </c>
      <c r="Q44" s="3">
        <v>78.62</v>
      </c>
      <c r="R44" s="3">
        <v>59.23</v>
      </c>
      <c r="S44" s="3">
        <v>47.96</v>
      </c>
      <c r="T44" s="12">
        <v>12.22</v>
      </c>
    </row>
    <row r="45" spans="2:20" ht="14.3" customHeight="1" x14ac:dyDescent="0.25">
      <c r="B45" s="2"/>
      <c r="C45" s="20">
        <v>46104.370833333334</v>
      </c>
      <c r="D45" s="3">
        <v>1</v>
      </c>
      <c r="E45" s="4">
        <v>19622</v>
      </c>
      <c r="F45" s="3">
        <v>11353</v>
      </c>
      <c r="G45" s="3">
        <v>150658</v>
      </c>
      <c r="H45" s="3">
        <v>1129.7</v>
      </c>
      <c r="I45" s="3">
        <v>1162.3</v>
      </c>
      <c r="J45" s="3">
        <v>25.1</v>
      </c>
      <c r="K45" s="3">
        <v>53.7</v>
      </c>
      <c r="L45" s="17">
        <v>1003.3</v>
      </c>
      <c r="M45" s="4">
        <v>272.3</v>
      </c>
      <c r="N45" s="4">
        <v>216</v>
      </c>
      <c r="O45" s="3">
        <v>29</v>
      </c>
      <c r="P45" s="3">
        <v>1.2609999999999999</v>
      </c>
      <c r="Q45" s="3">
        <v>0.61</v>
      </c>
      <c r="R45" s="3">
        <v>17.91</v>
      </c>
      <c r="S45" s="3">
        <v>-41.66</v>
      </c>
      <c r="T45" s="12">
        <v>12.69</v>
      </c>
    </row>
    <row r="46" spans="2:20" ht="14.3" customHeight="1" x14ac:dyDescent="0.25">
      <c r="B46" s="2"/>
      <c r="C46" s="20">
        <v>46104.412499999999</v>
      </c>
      <c r="D46" s="3">
        <v>6</v>
      </c>
      <c r="E46" s="3">
        <v>4</v>
      </c>
      <c r="F46" s="3">
        <v>11571</v>
      </c>
      <c r="G46" s="3">
        <v>367754</v>
      </c>
      <c r="H46" s="3">
        <v>1139.5</v>
      </c>
      <c r="I46" s="3">
        <v>1176.9000000000001</v>
      </c>
      <c r="J46" s="3">
        <v>30.8</v>
      </c>
      <c r="K46" s="3">
        <v>49.2</v>
      </c>
      <c r="L46" s="17">
        <v>1003.6</v>
      </c>
      <c r="M46" s="3">
        <v>819.5</v>
      </c>
      <c r="N46" s="3">
        <v>638</v>
      </c>
      <c r="O46" s="3">
        <v>56</v>
      </c>
      <c r="P46" s="3">
        <v>1.284</v>
      </c>
      <c r="Q46" s="3">
        <v>-8.57</v>
      </c>
      <c r="R46" s="3">
        <v>13.05</v>
      </c>
      <c r="S46" s="3">
        <v>-324.73</v>
      </c>
      <c r="T46" s="12">
        <v>12.92</v>
      </c>
    </row>
    <row r="47" spans="2:20" ht="14.3" customHeight="1" x14ac:dyDescent="0.25">
      <c r="B47" s="2"/>
      <c r="C47" s="20">
        <v>46104.454166550924</v>
      </c>
      <c r="D47" s="4">
        <v>24</v>
      </c>
      <c r="E47" s="3">
        <v>3</v>
      </c>
      <c r="F47" s="3">
        <v>12335</v>
      </c>
      <c r="G47" s="3">
        <v>367875</v>
      </c>
      <c r="H47" s="3">
        <v>1164.0999999999999</v>
      </c>
      <c r="I47" s="3">
        <v>1186.7</v>
      </c>
      <c r="J47" s="3">
        <v>36.4</v>
      </c>
      <c r="K47" s="3">
        <v>44.7</v>
      </c>
      <c r="L47" s="17">
        <v>1003.8</v>
      </c>
      <c r="M47" s="4">
        <v>521.29999999999995</v>
      </c>
      <c r="N47" s="4">
        <v>398</v>
      </c>
      <c r="O47" s="3">
        <v>56</v>
      </c>
      <c r="P47" s="3">
        <v>1310</v>
      </c>
      <c r="Q47" s="3">
        <v>-6.51</v>
      </c>
      <c r="R47" s="3">
        <v>14.14</v>
      </c>
      <c r="S47" s="3">
        <v>-101.57</v>
      </c>
      <c r="T47" s="12">
        <v>13.09</v>
      </c>
    </row>
    <row r="48" spans="2:20" ht="14.3" customHeight="1" x14ac:dyDescent="0.25">
      <c r="B48" s="2"/>
      <c r="C48" s="20">
        <v>46104.495833159723</v>
      </c>
      <c r="D48" s="4">
        <v>33</v>
      </c>
      <c r="E48" s="3">
        <v>0</v>
      </c>
      <c r="F48" s="3">
        <v>13934</v>
      </c>
      <c r="G48" s="3">
        <v>367996</v>
      </c>
      <c r="H48" s="3">
        <v>1161.5999999999999</v>
      </c>
      <c r="I48" s="3">
        <v>1198.9000000000001</v>
      </c>
      <c r="J48" s="3">
        <v>40.5</v>
      </c>
      <c r="K48" s="3">
        <v>41.1</v>
      </c>
      <c r="L48" s="17">
        <v>1003.8</v>
      </c>
      <c r="M48" s="4">
        <v>1081.9000000000001</v>
      </c>
      <c r="N48" s="4">
        <v>814</v>
      </c>
      <c r="O48" s="3">
        <v>56</v>
      </c>
      <c r="P48" s="3">
        <v>1.329</v>
      </c>
      <c r="Q48" s="3">
        <v>-9.35</v>
      </c>
      <c r="R48" s="3">
        <v>12.64</v>
      </c>
      <c r="S48" s="3">
        <v>-578.05999999999995</v>
      </c>
      <c r="T48" s="12">
        <v>13.29</v>
      </c>
    </row>
    <row r="49" spans="2:20" ht="14.3" customHeight="1" x14ac:dyDescent="0.25">
      <c r="B49" s="2"/>
      <c r="C49" s="20">
        <v>46104.537499768521</v>
      </c>
      <c r="D49" s="4">
        <v>36</v>
      </c>
      <c r="E49" s="3">
        <v>0</v>
      </c>
      <c r="F49" s="3">
        <v>16040</v>
      </c>
      <c r="G49" s="3">
        <v>368104</v>
      </c>
      <c r="H49" s="3">
        <v>1154.3</v>
      </c>
      <c r="I49" s="3">
        <v>1201.4000000000001</v>
      </c>
      <c r="J49" s="3">
        <v>41.5</v>
      </c>
      <c r="K49" s="3">
        <v>39.6</v>
      </c>
      <c r="L49" s="17">
        <v>1003.8</v>
      </c>
      <c r="M49" s="4">
        <v>1452.8</v>
      </c>
      <c r="N49" s="4">
        <v>1092</v>
      </c>
      <c r="O49" s="3">
        <v>56</v>
      </c>
      <c r="P49" s="3">
        <v>1330</v>
      </c>
      <c r="Q49" s="3">
        <v>-9.94</v>
      </c>
      <c r="R49" s="3">
        <v>12.33</v>
      </c>
      <c r="S49" s="3">
        <v>-894.07</v>
      </c>
      <c r="T49" s="12">
        <v>13.58</v>
      </c>
    </row>
    <row r="50" spans="2:20" ht="14.3" customHeight="1" x14ac:dyDescent="0.25">
      <c r="B50" s="2"/>
      <c r="C50" s="20">
        <v>46104.579166377313</v>
      </c>
      <c r="D50" s="4">
        <v>7</v>
      </c>
      <c r="E50" s="3">
        <v>1</v>
      </c>
      <c r="F50" s="3">
        <v>17067</v>
      </c>
      <c r="G50" s="3">
        <v>368215</v>
      </c>
      <c r="H50" s="3">
        <v>1142</v>
      </c>
      <c r="I50" s="3">
        <v>1198.9000000000001</v>
      </c>
      <c r="J50" s="3">
        <v>42.9</v>
      </c>
      <c r="K50" s="3">
        <v>37.700000000000003</v>
      </c>
      <c r="L50" s="17">
        <v>1003.5</v>
      </c>
      <c r="M50" s="4">
        <v>828.1</v>
      </c>
      <c r="N50" s="4">
        <v>622</v>
      </c>
      <c r="O50" s="3">
        <v>56</v>
      </c>
      <c r="P50" s="3">
        <v>1.331</v>
      </c>
      <c r="Q50" s="3">
        <v>-8.6</v>
      </c>
      <c r="R50" s="3">
        <v>13.03</v>
      </c>
      <c r="S50" s="3">
        <v>-367.21</v>
      </c>
      <c r="T50" s="12">
        <v>14.42</v>
      </c>
    </row>
    <row r="51" spans="2:20" ht="14.3" customHeight="1" x14ac:dyDescent="0.25">
      <c r="B51" s="2"/>
      <c r="C51" s="7">
        <v>46104.620832986111</v>
      </c>
      <c r="D51" s="3">
        <v>1</v>
      </c>
      <c r="E51" s="3">
        <v>1</v>
      </c>
      <c r="F51" s="3">
        <v>17258</v>
      </c>
      <c r="G51" s="3">
        <v>368322</v>
      </c>
      <c r="H51" s="3">
        <v>1151.8</v>
      </c>
      <c r="I51" s="3">
        <v>1203.8</v>
      </c>
      <c r="J51" s="3">
        <v>43</v>
      </c>
      <c r="K51" s="3">
        <v>37.5</v>
      </c>
      <c r="L51" s="17">
        <v>1003.4</v>
      </c>
      <c r="M51" s="3">
        <v>191.4</v>
      </c>
      <c r="N51" s="3">
        <v>144</v>
      </c>
      <c r="O51" s="3">
        <v>56</v>
      </c>
      <c r="P51" s="3">
        <v>1.329</v>
      </c>
      <c r="Q51" s="3">
        <v>11.02</v>
      </c>
      <c r="R51" s="3">
        <v>23.42</v>
      </c>
      <c r="S51" s="3">
        <v>-32.46</v>
      </c>
      <c r="T51" s="12">
        <v>14.36</v>
      </c>
    </row>
    <row r="52" spans="2:20" ht="14.3" customHeight="1" x14ac:dyDescent="0.25">
      <c r="B52" s="2"/>
      <c r="C52" s="7">
        <v>46104.66249959491</v>
      </c>
      <c r="D52" s="3">
        <v>2</v>
      </c>
      <c r="E52" s="3">
        <v>2</v>
      </c>
      <c r="F52" s="3">
        <v>17381</v>
      </c>
      <c r="G52" s="3">
        <v>368432</v>
      </c>
      <c r="H52" s="3">
        <v>1151.8</v>
      </c>
      <c r="I52" s="3">
        <v>1191.5999999999999</v>
      </c>
      <c r="J52" s="3">
        <v>40.5</v>
      </c>
      <c r="K52" s="3">
        <v>39.1</v>
      </c>
      <c r="L52" s="17">
        <v>1003.4</v>
      </c>
      <c r="M52" s="3">
        <v>132</v>
      </c>
      <c r="N52" s="3">
        <v>100</v>
      </c>
      <c r="O52" s="3">
        <v>56</v>
      </c>
      <c r="P52" s="3">
        <v>1.32</v>
      </c>
      <c r="Q52" s="3">
        <v>49.79</v>
      </c>
      <c r="R52" s="3">
        <v>43.96</v>
      </c>
      <c r="S52" s="3">
        <v>26.5</v>
      </c>
      <c r="T52" s="12">
        <v>13.64</v>
      </c>
    </row>
    <row r="53" spans="2:20" ht="14.3" customHeight="1" x14ac:dyDescent="0.25">
      <c r="B53" s="2"/>
      <c r="C53" s="7">
        <v>46104.704166203701</v>
      </c>
      <c r="D53" s="3">
        <v>0</v>
      </c>
      <c r="E53" s="3">
        <v>1</v>
      </c>
      <c r="F53" s="3">
        <v>17471</v>
      </c>
      <c r="G53" s="3">
        <v>368545</v>
      </c>
      <c r="H53" s="3">
        <v>1139.5</v>
      </c>
      <c r="I53" s="3">
        <v>1189.2</v>
      </c>
      <c r="J53" s="3">
        <v>36.700000000000003</v>
      </c>
      <c r="K53" s="3">
        <v>43</v>
      </c>
      <c r="L53" s="17">
        <v>1003.6</v>
      </c>
      <c r="M53" s="3">
        <v>120.3</v>
      </c>
      <c r="N53" s="3">
        <v>92</v>
      </c>
      <c r="O53" s="3">
        <v>56</v>
      </c>
      <c r="P53" s="3">
        <v>1.3080000000000001</v>
      </c>
      <c r="Q53" s="3">
        <v>81.09</v>
      </c>
      <c r="R53" s="3">
        <v>60.54</v>
      </c>
      <c r="S53" s="3">
        <v>38.520000000000003</v>
      </c>
      <c r="T53" s="12">
        <v>13.6</v>
      </c>
    </row>
    <row r="54" spans="2:20" ht="14.3" customHeight="1" x14ac:dyDescent="0.25">
      <c r="B54" s="2"/>
      <c r="C54" s="7">
        <v>46104.745832812499</v>
      </c>
      <c r="D54" s="3">
        <v>2</v>
      </c>
      <c r="E54" s="3">
        <v>1</v>
      </c>
      <c r="F54" s="3">
        <v>17457</v>
      </c>
      <c r="G54" s="3">
        <v>368659</v>
      </c>
      <c r="H54" s="3">
        <v>1198.5</v>
      </c>
      <c r="I54" s="3">
        <v>1176.9000000000001</v>
      </c>
      <c r="J54" s="3">
        <v>29.7</v>
      </c>
      <c r="K54" s="3">
        <v>50</v>
      </c>
      <c r="L54" s="17">
        <v>1004</v>
      </c>
      <c r="M54" s="3">
        <v>113.3</v>
      </c>
      <c r="N54" s="3">
        <v>88</v>
      </c>
      <c r="O54" s="3">
        <v>56</v>
      </c>
      <c r="P54" s="3">
        <v>1.288</v>
      </c>
      <c r="Q54" s="3">
        <v>121.83</v>
      </c>
      <c r="R54" s="3">
        <v>82.13</v>
      </c>
      <c r="S54" s="3">
        <v>53.33</v>
      </c>
      <c r="T54" s="12">
        <v>12.97</v>
      </c>
    </row>
    <row r="55" spans="2:20" ht="14.3" customHeight="1" x14ac:dyDescent="0.25">
      <c r="B55" s="2"/>
      <c r="C55" s="7">
        <v>46104.787499421298</v>
      </c>
      <c r="D55" s="3">
        <v>1</v>
      </c>
      <c r="E55" s="3">
        <v>0</v>
      </c>
      <c r="F55" s="3">
        <v>17680</v>
      </c>
      <c r="G55" s="3">
        <v>368770</v>
      </c>
      <c r="H55" s="3">
        <v>1178.8</v>
      </c>
      <c r="I55" s="3">
        <v>1167.2</v>
      </c>
      <c r="J55" s="3">
        <v>24.3</v>
      </c>
      <c r="K55" s="3">
        <v>52.2</v>
      </c>
      <c r="L55" s="17">
        <v>1004.5</v>
      </c>
      <c r="M55" s="3">
        <v>124.3</v>
      </c>
      <c r="N55" s="3">
        <v>98</v>
      </c>
      <c r="O55" s="3">
        <v>56</v>
      </c>
      <c r="P55" s="3">
        <v>1.2689999999999999</v>
      </c>
      <c r="Q55" s="3">
        <v>67.22</v>
      </c>
      <c r="R55" s="3">
        <v>53.19</v>
      </c>
      <c r="S55" s="3">
        <v>39.86</v>
      </c>
      <c r="T55" s="12">
        <v>12.81</v>
      </c>
    </row>
    <row r="56" spans="2:20" ht="14.3" customHeight="1" x14ac:dyDescent="0.25">
      <c r="B56" s="2"/>
      <c r="C56" s="7">
        <v>46104.829166030089</v>
      </c>
      <c r="D56" s="3">
        <v>2</v>
      </c>
      <c r="E56" s="3">
        <v>6</v>
      </c>
      <c r="F56" s="3">
        <v>17788</v>
      </c>
      <c r="G56" s="3">
        <v>368907</v>
      </c>
      <c r="H56" s="3">
        <v>117.4</v>
      </c>
      <c r="I56" s="3">
        <v>1159.8</v>
      </c>
      <c r="J56" s="3">
        <v>20.7</v>
      </c>
      <c r="K56" s="3">
        <v>55.3</v>
      </c>
      <c r="L56" s="17">
        <v>1005.1</v>
      </c>
      <c r="M56" s="3">
        <v>133.80000000000001</v>
      </c>
      <c r="N56" s="3">
        <v>106</v>
      </c>
      <c r="O56" s="3">
        <v>56</v>
      </c>
      <c r="P56" s="3">
        <v>1.262</v>
      </c>
      <c r="Q56" s="3">
        <v>46.68</v>
      </c>
      <c r="R56" s="3">
        <v>42.32</v>
      </c>
      <c r="S56" s="3">
        <v>31.82</v>
      </c>
      <c r="T56" s="12">
        <v>12.74</v>
      </c>
    </row>
    <row r="57" spans="2:20" ht="14.3" customHeight="1" x14ac:dyDescent="0.25">
      <c r="B57" s="2"/>
      <c r="C57" s="7">
        <v>46104.870832638888</v>
      </c>
      <c r="D57" s="3">
        <v>1</v>
      </c>
      <c r="E57" s="3">
        <v>2</v>
      </c>
      <c r="F57" s="3">
        <v>17912</v>
      </c>
      <c r="G57" s="3">
        <v>369032</v>
      </c>
      <c r="H57" s="3">
        <v>1129.7</v>
      </c>
      <c r="I57" s="3">
        <v>1152.5</v>
      </c>
      <c r="J57" s="3">
        <v>19.7</v>
      </c>
      <c r="K57" s="3">
        <v>54.6</v>
      </c>
      <c r="L57" s="17">
        <v>1006.1</v>
      </c>
      <c r="M57" s="3">
        <v>142.1</v>
      </c>
      <c r="N57" s="3">
        <v>122</v>
      </c>
      <c r="O57" s="3">
        <v>56</v>
      </c>
      <c r="P57" s="3">
        <v>1.268</v>
      </c>
      <c r="Q57" s="3">
        <v>35.93</v>
      </c>
      <c r="R57" s="3">
        <v>36.619999999999997</v>
      </c>
      <c r="S57" s="3">
        <v>26.25</v>
      </c>
      <c r="T57" s="12">
        <v>12.66</v>
      </c>
    </row>
    <row r="58" spans="2:20" ht="14.3" customHeight="1" x14ac:dyDescent="0.25">
      <c r="B58" s="2"/>
      <c r="C58" s="7">
        <v>46104.912499247686</v>
      </c>
      <c r="D58" s="3">
        <v>3</v>
      </c>
      <c r="E58" s="3">
        <v>1</v>
      </c>
      <c r="F58" s="3">
        <v>18011</v>
      </c>
      <c r="G58" s="3">
        <v>369137</v>
      </c>
      <c r="H58" s="3">
        <v>1156.7</v>
      </c>
      <c r="I58" s="3">
        <v>1152.5</v>
      </c>
      <c r="J58" s="3">
        <v>18.3</v>
      </c>
      <c r="K58" s="3">
        <v>54.6</v>
      </c>
      <c r="L58" s="17">
        <v>1006.5</v>
      </c>
      <c r="M58" s="3">
        <v>107.5</v>
      </c>
      <c r="N58" s="3">
        <v>85</v>
      </c>
      <c r="O58" s="3">
        <v>56</v>
      </c>
      <c r="P58" s="3">
        <v>1.2649999999999999</v>
      </c>
      <c r="Q58" s="3">
        <v>198.81</v>
      </c>
      <c r="R58" s="3">
        <v>122.94</v>
      </c>
      <c r="S58" s="3">
        <v>89.13</v>
      </c>
      <c r="T58" s="12">
        <v>12.6</v>
      </c>
    </row>
    <row r="59" spans="2:20" ht="14.3" customHeight="1" x14ac:dyDescent="0.25">
      <c r="B59" s="2"/>
      <c r="C59" s="7">
        <v>46104.954165856485</v>
      </c>
      <c r="D59" s="3">
        <v>2</v>
      </c>
      <c r="E59" s="3">
        <v>3</v>
      </c>
      <c r="F59" s="3">
        <v>18126</v>
      </c>
      <c r="G59" s="3">
        <v>369274</v>
      </c>
      <c r="H59" s="3">
        <v>1129.7</v>
      </c>
      <c r="I59" s="3">
        <v>1150.0999999999999</v>
      </c>
      <c r="J59" s="3">
        <v>17.100000000000001</v>
      </c>
      <c r="K59" s="3">
        <v>55.2</v>
      </c>
      <c r="L59" s="17">
        <v>1006.6</v>
      </c>
      <c r="M59" s="3">
        <v>145.4</v>
      </c>
      <c r="N59" s="3">
        <v>115</v>
      </c>
      <c r="O59" s="3">
        <v>56</v>
      </c>
      <c r="P59" s="3">
        <v>1.264</v>
      </c>
      <c r="Q59" s="3">
        <v>32.67</v>
      </c>
      <c r="R59" s="3">
        <v>34.89</v>
      </c>
      <c r="S59" s="3">
        <v>25.1</v>
      </c>
      <c r="T59" s="12">
        <v>12.55</v>
      </c>
    </row>
    <row r="60" spans="2:20" ht="14.3" customHeight="1" x14ac:dyDescent="0.25">
      <c r="B60" s="2"/>
      <c r="C60" s="7">
        <v>46104.995832465276</v>
      </c>
      <c r="D60" s="3">
        <v>3</v>
      </c>
      <c r="E60" s="3">
        <v>0</v>
      </c>
      <c r="F60" s="3">
        <v>18228</v>
      </c>
      <c r="G60" s="3">
        <v>369389</v>
      </c>
      <c r="H60" s="3">
        <v>1112.5</v>
      </c>
      <c r="I60" s="3">
        <v>1147.5999999999999</v>
      </c>
      <c r="J60" s="3">
        <v>16.5</v>
      </c>
      <c r="K60" s="3">
        <v>55.3</v>
      </c>
      <c r="L60" s="17">
        <v>1006.6</v>
      </c>
      <c r="M60" s="3">
        <v>122.4</v>
      </c>
      <c r="N60" s="3">
        <v>97</v>
      </c>
      <c r="O60" s="3">
        <v>56</v>
      </c>
      <c r="P60" s="3">
        <v>1.262</v>
      </c>
      <c r="Q60" s="3">
        <v>73.349999999999994</v>
      </c>
      <c r="R60" s="3">
        <v>56.44</v>
      </c>
      <c r="S60" s="3">
        <v>47.15</v>
      </c>
      <c r="T60" s="12">
        <v>12.49</v>
      </c>
    </row>
    <row r="61" spans="2:20" ht="14.3" customHeight="1" x14ac:dyDescent="0.25">
      <c r="B61" s="2"/>
      <c r="C61" s="7">
        <v>46105.037499999999</v>
      </c>
      <c r="D61" s="3">
        <v>2</v>
      </c>
      <c r="E61" s="3">
        <v>1</v>
      </c>
      <c r="F61" s="3">
        <v>18326</v>
      </c>
      <c r="G61" s="3">
        <v>369499</v>
      </c>
      <c r="H61" s="3">
        <v>1117.4000000000001</v>
      </c>
      <c r="I61" s="3">
        <v>1145.2</v>
      </c>
      <c r="J61" s="3">
        <v>16</v>
      </c>
      <c r="K61" s="3">
        <v>55.6</v>
      </c>
      <c r="L61" s="17">
        <v>1006.9</v>
      </c>
      <c r="M61" s="3">
        <v>107.4</v>
      </c>
      <c r="N61" s="3">
        <v>85</v>
      </c>
      <c r="O61" s="3">
        <v>56</v>
      </c>
      <c r="P61" s="3">
        <v>1.264</v>
      </c>
      <c r="Q61" s="3">
        <v>201.11</v>
      </c>
      <c r="R61" s="3">
        <v>124.16</v>
      </c>
      <c r="S61" s="3">
        <v>94.47</v>
      </c>
      <c r="T61" s="12">
        <v>12.45</v>
      </c>
    </row>
    <row r="62" spans="2:20" ht="14.3" customHeight="1" x14ac:dyDescent="0.25">
      <c r="B62" s="2"/>
      <c r="C62" s="7">
        <v>46105.07916666667</v>
      </c>
      <c r="D62" s="3">
        <v>1</v>
      </c>
      <c r="E62" s="3">
        <v>1</v>
      </c>
      <c r="F62" s="3">
        <v>18441</v>
      </c>
      <c r="G62" s="3">
        <v>369619</v>
      </c>
      <c r="H62" s="3">
        <v>1146.9000000000001</v>
      </c>
      <c r="I62" s="3">
        <v>1145.2</v>
      </c>
      <c r="J62" s="3">
        <v>16.2</v>
      </c>
      <c r="K62" s="3">
        <v>55.7</v>
      </c>
      <c r="L62" s="17">
        <v>1007</v>
      </c>
      <c r="M62" s="3">
        <v>127.7</v>
      </c>
      <c r="N62" s="3">
        <v>101</v>
      </c>
      <c r="O62" s="3">
        <v>56</v>
      </c>
      <c r="P62" s="3">
        <v>1.264</v>
      </c>
      <c r="Q62" s="3">
        <v>58.51</v>
      </c>
      <c r="R62" s="3">
        <v>48.58</v>
      </c>
      <c r="S62" s="3">
        <v>40.1</v>
      </c>
      <c r="T62" s="12">
        <v>12.38</v>
      </c>
    </row>
    <row r="63" spans="2:20" ht="14.3" customHeight="1" x14ac:dyDescent="0.25">
      <c r="B63" s="2"/>
      <c r="C63" s="7">
        <v>46105.120833391207</v>
      </c>
      <c r="D63" s="3">
        <v>1</v>
      </c>
      <c r="E63" s="3">
        <v>2</v>
      </c>
      <c r="F63" s="3">
        <v>18545</v>
      </c>
      <c r="G63" s="3">
        <v>369739</v>
      </c>
      <c r="H63" s="3">
        <v>1112.5</v>
      </c>
      <c r="I63" s="3">
        <v>1145.2</v>
      </c>
      <c r="J63" s="3">
        <v>15.8</v>
      </c>
      <c r="K63" s="3">
        <v>56.9</v>
      </c>
      <c r="L63" s="17">
        <v>1007</v>
      </c>
      <c r="M63" s="3">
        <v>122.6</v>
      </c>
      <c r="N63" s="3">
        <v>97</v>
      </c>
      <c r="O63" s="3">
        <v>56</v>
      </c>
      <c r="P63" s="3">
        <v>1.264</v>
      </c>
      <c r="Q63" s="3">
        <v>72.59</v>
      </c>
      <c r="R63" s="3">
        <v>56.04</v>
      </c>
      <c r="S63" s="3">
        <v>46.96</v>
      </c>
      <c r="T63" s="12">
        <v>12.34</v>
      </c>
    </row>
    <row r="64" spans="2:20" ht="14.3" customHeight="1" x14ac:dyDescent="0.25">
      <c r="B64" s="2"/>
      <c r="C64" s="7">
        <v>46105.162500115737</v>
      </c>
      <c r="D64" s="3">
        <v>1</v>
      </c>
      <c r="E64" s="3">
        <v>2</v>
      </c>
      <c r="F64" s="3">
        <v>18642</v>
      </c>
      <c r="G64" s="3">
        <v>369850</v>
      </c>
      <c r="H64" s="3">
        <v>1164.0999999999999</v>
      </c>
      <c r="I64" s="3">
        <v>1145.2</v>
      </c>
      <c r="J64" s="3">
        <v>15.8</v>
      </c>
      <c r="K64" s="3">
        <v>56.8</v>
      </c>
      <c r="L64" s="17">
        <v>1006.9</v>
      </c>
      <c r="M64" s="3">
        <v>113.7</v>
      </c>
      <c r="N64" s="3">
        <v>90</v>
      </c>
      <c r="O64" s="3">
        <v>56</v>
      </c>
      <c r="P64" s="3">
        <v>1.264</v>
      </c>
      <c r="Q64" s="3">
        <v>118.4</v>
      </c>
      <c r="R64" s="3">
        <v>80.31</v>
      </c>
      <c r="S64" s="3">
        <v>66</v>
      </c>
      <c r="T64" s="12">
        <v>12.29</v>
      </c>
    </row>
    <row r="65" spans="2:20" ht="14.3" customHeight="1" x14ac:dyDescent="0.25">
      <c r="B65" s="2"/>
      <c r="C65" s="7">
        <v>46105.204166840274</v>
      </c>
      <c r="D65" s="3">
        <v>1</v>
      </c>
      <c r="E65" s="3">
        <v>2</v>
      </c>
      <c r="F65" s="3">
        <v>18754</v>
      </c>
      <c r="G65" s="3">
        <v>369963</v>
      </c>
      <c r="H65" s="3">
        <v>1159.2</v>
      </c>
      <c r="I65" s="3">
        <v>1145.2</v>
      </c>
      <c r="J65" s="3">
        <v>15.6</v>
      </c>
      <c r="K65" s="3">
        <v>56.8</v>
      </c>
      <c r="L65" s="17">
        <v>1007.4</v>
      </c>
      <c r="M65" s="3">
        <v>119.1</v>
      </c>
      <c r="N65" s="3">
        <v>94</v>
      </c>
      <c r="O65" s="3">
        <v>56</v>
      </c>
      <c r="P65" s="3">
        <v>1.268</v>
      </c>
      <c r="Q65" s="3">
        <v>86.11</v>
      </c>
      <c r="R65" s="3">
        <v>63.2</v>
      </c>
      <c r="S65" s="3">
        <v>53.19</v>
      </c>
      <c r="T65" s="12">
        <v>12.25</v>
      </c>
    </row>
    <row r="66" spans="2:20" ht="14.3" customHeight="1" x14ac:dyDescent="0.25">
      <c r="B66" s="2"/>
      <c r="C66" s="7">
        <v>46105.245833564812</v>
      </c>
      <c r="D66" s="3">
        <v>3</v>
      </c>
      <c r="E66" s="3">
        <v>3</v>
      </c>
      <c r="F66" s="3">
        <v>18853</v>
      </c>
      <c r="G66" s="3">
        <v>370098</v>
      </c>
      <c r="H66" s="3">
        <v>1164.0999999999999</v>
      </c>
      <c r="I66" s="3">
        <v>1142.8</v>
      </c>
      <c r="J66" s="3">
        <v>15.3</v>
      </c>
      <c r="K66" s="3">
        <v>56.7</v>
      </c>
      <c r="L66" s="17">
        <v>1007.7</v>
      </c>
      <c r="M66" s="3">
        <v>129.5</v>
      </c>
      <c r="N66" s="3">
        <v>102</v>
      </c>
      <c r="O66" s="3">
        <v>56</v>
      </c>
      <c r="P66" s="3">
        <v>1.2689999999999999</v>
      </c>
      <c r="Q66" s="3">
        <v>54.62</v>
      </c>
      <c r="R66" s="3">
        <v>46.52</v>
      </c>
      <c r="S66" s="3">
        <v>38.32</v>
      </c>
      <c r="T66" s="12">
        <v>12.14</v>
      </c>
    </row>
    <row r="67" spans="2:20" ht="14.3" customHeight="1" x14ac:dyDescent="0.25">
      <c r="B67" s="2"/>
      <c r="C67" s="7">
        <v>46105.287500289349</v>
      </c>
      <c r="D67" s="3">
        <v>0</v>
      </c>
      <c r="E67" s="3">
        <v>0</v>
      </c>
      <c r="F67" s="3">
        <v>18949</v>
      </c>
      <c r="G67" s="3">
        <v>370199</v>
      </c>
      <c r="H67" s="3">
        <v>1161.5999999999999</v>
      </c>
      <c r="I67" s="3">
        <v>1145.2</v>
      </c>
      <c r="J67" s="3">
        <v>15.1</v>
      </c>
      <c r="K67" s="3">
        <v>56.5</v>
      </c>
      <c r="L67" s="17">
        <v>1008.3</v>
      </c>
      <c r="M67" s="3">
        <v>111</v>
      </c>
      <c r="N67" s="3">
        <v>87</v>
      </c>
      <c r="O67" s="3">
        <v>56</v>
      </c>
      <c r="P67" s="3">
        <v>1.2749999999999999</v>
      </c>
      <c r="Q67" s="3">
        <v>145.24</v>
      </c>
      <c r="R67" s="3">
        <v>94.54</v>
      </c>
      <c r="S67" s="3">
        <v>76.88</v>
      </c>
      <c r="T67" s="12">
        <v>12.05</v>
      </c>
    </row>
    <row r="68" spans="2:20" ht="14.3" customHeight="1" x14ac:dyDescent="0.25">
      <c r="B68" s="9"/>
      <c r="C68" s="7">
        <v>46105.329861111109</v>
      </c>
      <c r="D68" s="3">
        <v>2</v>
      </c>
      <c r="E68" s="3">
        <v>1</v>
      </c>
      <c r="F68" s="3">
        <v>19054</v>
      </c>
      <c r="G68" s="3">
        <v>370312</v>
      </c>
      <c r="H68" s="3">
        <v>1110.0999999999999</v>
      </c>
      <c r="I68" s="3">
        <v>1155</v>
      </c>
      <c r="J68" s="3">
        <v>19.899999999999999</v>
      </c>
      <c r="K68" s="3">
        <v>52.5</v>
      </c>
      <c r="L68" s="17">
        <v>1008.9</v>
      </c>
      <c r="M68" s="3">
        <v>120.2</v>
      </c>
      <c r="N68" s="3">
        <v>93</v>
      </c>
      <c r="O68" s="3">
        <v>56</v>
      </c>
      <c r="P68" s="3">
        <v>1.292</v>
      </c>
      <c r="Q68" s="3">
        <v>81.53</v>
      </c>
      <c r="R68" s="3">
        <v>60.78</v>
      </c>
      <c r="S68" s="3">
        <v>49.29</v>
      </c>
      <c r="T68" s="12">
        <v>12.19</v>
      </c>
    </row>
    <row r="69" spans="2:20" ht="14.3" customHeight="1" x14ac:dyDescent="0.25">
      <c r="B69" s="9"/>
      <c r="C69" s="7">
        <v>46105.371527777781</v>
      </c>
      <c r="D69" s="3">
        <v>2</v>
      </c>
      <c r="E69" s="3">
        <v>3</v>
      </c>
      <c r="F69" s="3">
        <v>19172</v>
      </c>
      <c r="G69" s="3">
        <v>370420</v>
      </c>
      <c r="H69" s="3">
        <v>1183.7</v>
      </c>
      <c r="I69" s="3">
        <v>1164.7</v>
      </c>
      <c r="J69" s="3">
        <v>25.6</v>
      </c>
      <c r="K69" s="3">
        <v>48.3</v>
      </c>
      <c r="L69" s="17">
        <v>1009.8</v>
      </c>
      <c r="M69" s="3">
        <v>127.7</v>
      </c>
      <c r="N69" s="3">
        <v>97</v>
      </c>
      <c r="O69" s="3">
        <v>56</v>
      </c>
      <c r="P69" s="3">
        <v>1.3169999999999999</v>
      </c>
      <c r="Q69" s="3">
        <v>58.37</v>
      </c>
      <c r="R69" s="3">
        <v>48.51</v>
      </c>
      <c r="S69" s="3">
        <v>36.51</v>
      </c>
      <c r="T69" s="12">
        <v>12.68</v>
      </c>
    </row>
    <row r="70" spans="2:20" ht="14.3" customHeight="1" x14ac:dyDescent="0.25">
      <c r="B70" s="9"/>
      <c r="C70" s="7">
        <v>46105.413194502318</v>
      </c>
      <c r="D70" s="3">
        <v>2</v>
      </c>
      <c r="E70" s="3">
        <v>1</v>
      </c>
      <c r="F70" s="3">
        <v>19347</v>
      </c>
      <c r="G70" s="3">
        <v>370551</v>
      </c>
      <c r="H70" s="3">
        <v>1183.7</v>
      </c>
      <c r="I70" s="3">
        <v>1179.4000000000001</v>
      </c>
      <c r="J70" s="3">
        <v>31.2</v>
      </c>
      <c r="K70" s="3">
        <v>44.2</v>
      </c>
      <c r="L70" s="17">
        <v>1010.4</v>
      </c>
      <c r="M70" s="3">
        <v>178.9</v>
      </c>
      <c r="N70" s="3">
        <v>133</v>
      </c>
      <c r="O70" s="3">
        <v>56</v>
      </c>
      <c r="P70" s="3">
        <v>1.345</v>
      </c>
      <c r="Q70" s="3">
        <v>14.49</v>
      </c>
      <c r="R70" s="3">
        <v>25.26</v>
      </c>
      <c r="S70" s="3">
        <v>-27.38</v>
      </c>
      <c r="T70" s="12">
        <v>12.91</v>
      </c>
    </row>
    <row r="71" spans="2:20" ht="14.3" customHeight="1" x14ac:dyDescent="0.25">
      <c r="B71" s="9"/>
      <c r="C71" s="20">
        <v>46105.454861226855</v>
      </c>
      <c r="D71" s="4">
        <v>7</v>
      </c>
      <c r="E71" s="3">
        <v>0</v>
      </c>
      <c r="F71" s="3">
        <v>19738</v>
      </c>
      <c r="G71" s="3">
        <v>370659</v>
      </c>
      <c r="H71" s="3">
        <v>1134.5999999999999</v>
      </c>
      <c r="I71" s="3">
        <v>1186.7</v>
      </c>
      <c r="J71" s="3">
        <v>35.9</v>
      </c>
      <c r="K71" s="3">
        <v>40.6</v>
      </c>
      <c r="L71" s="17">
        <v>1010.4</v>
      </c>
      <c r="M71" s="4">
        <v>309.5</v>
      </c>
      <c r="N71" s="4">
        <v>227</v>
      </c>
      <c r="O71" s="3">
        <v>56</v>
      </c>
      <c r="P71" s="3">
        <v>1.3640000000000001</v>
      </c>
      <c r="Q71" s="3">
        <v>-1.52</v>
      </c>
      <c r="R71" s="3">
        <v>16.78</v>
      </c>
      <c r="S71" s="3">
        <v>-47.95</v>
      </c>
      <c r="T71" s="12">
        <v>13.09</v>
      </c>
    </row>
    <row r="72" spans="2:20" ht="14.3" customHeight="1" x14ac:dyDescent="0.25">
      <c r="B72" s="2"/>
      <c r="C72" s="20">
        <v>46105.495833912035</v>
      </c>
      <c r="D72" s="4">
        <v>7</v>
      </c>
      <c r="E72" s="3">
        <v>1</v>
      </c>
      <c r="F72" s="3">
        <v>20240</v>
      </c>
      <c r="G72" s="3">
        <v>370771</v>
      </c>
      <c r="H72" s="3">
        <v>1149.3</v>
      </c>
      <c r="I72" s="3">
        <v>1194</v>
      </c>
      <c r="J72" s="3">
        <v>40.4</v>
      </c>
      <c r="K72" s="3">
        <v>37.4</v>
      </c>
      <c r="L72" s="17">
        <v>1010.2</v>
      </c>
      <c r="M72" s="4">
        <v>397.5</v>
      </c>
      <c r="N72" s="4">
        <v>288</v>
      </c>
      <c r="O72" s="3">
        <v>56</v>
      </c>
      <c r="P72" s="3">
        <v>1.38</v>
      </c>
      <c r="Q72" s="3">
        <v>-4.45</v>
      </c>
      <c r="R72" s="3">
        <v>15.24</v>
      </c>
      <c r="S72" s="3">
        <v>-57.76</v>
      </c>
      <c r="T72" s="12">
        <v>13.29</v>
      </c>
    </row>
    <row r="73" spans="2:20" ht="14.3" customHeight="1" x14ac:dyDescent="0.25">
      <c r="B73" s="2"/>
      <c r="C73" s="20">
        <v>46105.537500636572</v>
      </c>
      <c r="D73" s="4">
        <v>2</v>
      </c>
      <c r="E73" s="3">
        <v>2</v>
      </c>
      <c r="F73" s="3">
        <v>20503</v>
      </c>
      <c r="G73" s="3">
        <v>370893</v>
      </c>
      <c r="H73" s="3">
        <v>1154.3</v>
      </c>
      <c r="I73" s="3">
        <v>1201.4000000000001</v>
      </c>
      <c r="J73" s="3">
        <v>42.6</v>
      </c>
      <c r="K73" s="3">
        <v>35.799999999999997</v>
      </c>
      <c r="L73" s="17">
        <v>1010</v>
      </c>
      <c r="M73" s="4">
        <v>268.39999999999998</v>
      </c>
      <c r="N73" s="4">
        <v>194</v>
      </c>
      <c r="O73" s="3">
        <v>56</v>
      </c>
      <c r="P73" s="3">
        <v>1.389</v>
      </c>
      <c r="Q73" s="3">
        <v>0.81</v>
      </c>
      <c r="R73" s="3">
        <v>18.02</v>
      </c>
      <c r="S73" s="3">
        <v>-44.43</v>
      </c>
      <c r="T73" s="12">
        <v>13.58</v>
      </c>
    </row>
    <row r="74" spans="2:20" ht="14.3" customHeight="1" x14ac:dyDescent="0.25">
      <c r="B74" s="2"/>
      <c r="C74" s="7">
        <v>46105.579167361109</v>
      </c>
      <c r="D74" s="3">
        <v>1</v>
      </c>
      <c r="E74" s="3">
        <v>1</v>
      </c>
      <c r="F74" s="3">
        <v>20603</v>
      </c>
      <c r="G74" s="3">
        <v>370995</v>
      </c>
      <c r="H74" s="3">
        <v>1159.2</v>
      </c>
      <c r="I74" s="3">
        <v>1198.9000000000001</v>
      </c>
      <c r="J74" s="3">
        <v>43.5</v>
      </c>
      <c r="K74" s="3">
        <v>34.799999999999997</v>
      </c>
      <c r="L74" s="17">
        <v>1009.9</v>
      </c>
      <c r="M74" s="3">
        <v>119.5</v>
      </c>
      <c r="N74" s="3">
        <v>86</v>
      </c>
      <c r="O74" s="3">
        <v>56</v>
      </c>
      <c r="P74" s="3">
        <v>1.389</v>
      </c>
      <c r="Q74" s="3">
        <v>84.55</v>
      </c>
      <c r="R74" s="3">
        <v>62.38</v>
      </c>
      <c r="S74" s="3">
        <v>37.770000000000003</v>
      </c>
      <c r="T74" s="12">
        <v>14.35</v>
      </c>
    </row>
    <row r="75" spans="2:20" ht="14.3" customHeight="1" x14ac:dyDescent="0.25">
      <c r="B75" s="2"/>
      <c r="C75" s="7">
        <v>46105.620834085646</v>
      </c>
      <c r="D75" s="3">
        <v>2</v>
      </c>
      <c r="E75" s="3">
        <v>0</v>
      </c>
      <c r="F75" s="3">
        <v>20718</v>
      </c>
      <c r="G75" s="3">
        <v>371080</v>
      </c>
      <c r="H75" s="3">
        <v>1139.5</v>
      </c>
      <c r="I75" s="3">
        <v>1198.9000000000001</v>
      </c>
      <c r="J75" s="3">
        <v>42.7</v>
      </c>
      <c r="K75" s="3">
        <v>25.6</v>
      </c>
      <c r="L75" s="17">
        <v>1009.9</v>
      </c>
      <c r="M75" s="3">
        <v>118.1</v>
      </c>
      <c r="N75" s="3">
        <v>85</v>
      </c>
      <c r="O75" s="3">
        <v>56</v>
      </c>
      <c r="P75" s="3">
        <v>1.39</v>
      </c>
      <c r="Q75" s="3">
        <v>90.91</v>
      </c>
      <c r="R75" s="3">
        <v>65.75</v>
      </c>
      <c r="S75" s="3">
        <v>39.61</v>
      </c>
      <c r="T75" s="12">
        <v>14.32</v>
      </c>
    </row>
    <row r="76" spans="2:20" ht="14.3" customHeight="1" x14ac:dyDescent="0.25">
      <c r="B76" s="2"/>
      <c r="C76" s="7">
        <v>46105.662500810184</v>
      </c>
      <c r="D76" s="3">
        <v>2</v>
      </c>
      <c r="E76" s="3">
        <v>1</v>
      </c>
      <c r="F76" s="3">
        <v>20801</v>
      </c>
      <c r="G76" s="3">
        <v>371185</v>
      </c>
      <c r="H76" s="3">
        <v>1178.8</v>
      </c>
      <c r="I76" s="3">
        <v>1194</v>
      </c>
      <c r="J76" s="3">
        <v>39.9</v>
      </c>
      <c r="K76" s="3">
        <v>37.5</v>
      </c>
      <c r="L76" s="17">
        <v>1009.8</v>
      </c>
      <c r="M76" s="3">
        <v>118.4</v>
      </c>
      <c r="N76" s="3">
        <v>86</v>
      </c>
      <c r="O76" s="3">
        <v>56</v>
      </c>
      <c r="P76" s="3">
        <v>1.377</v>
      </c>
      <c r="Q76" s="3">
        <v>87.57</v>
      </c>
      <c r="R76" s="3">
        <v>65.040000000000006</v>
      </c>
      <c r="S76" s="3">
        <v>40.54</v>
      </c>
      <c r="T76" s="12">
        <v>13.61</v>
      </c>
    </row>
    <row r="77" spans="2:20" ht="14.3" customHeight="1" x14ac:dyDescent="0.25">
      <c r="C77" s="7">
        <v>46105.704167476855</v>
      </c>
      <c r="D77" s="10">
        <v>1</v>
      </c>
      <c r="E77" s="10">
        <v>3</v>
      </c>
      <c r="F77" s="10">
        <v>20901</v>
      </c>
      <c r="G77" s="10">
        <v>371323</v>
      </c>
      <c r="H77" s="10">
        <v>1203.4000000000001</v>
      </c>
      <c r="I77" s="10">
        <v>1184.3</v>
      </c>
      <c r="J77" s="10">
        <v>35.200000000000003</v>
      </c>
      <c r="K77" s="10">
        <v>41.6</v>
      </c>
      <c r="L77" s="18">
        <v>1009.8</v>
      </c>
      <c r="M77" s="10">
        <v>141.19999999999999</v>
      </c>
      <c r="N77" s="10">
        <v>104</v>
      </c>
      <c r="O77" s="10">
        <v>56</v>
      </c>
      <c r="P77" s="10">
        <v>1.357</v>
      </c>
      <c r="Q77" s="10">
        <v>36.909999999999997</v>
      </c>
      <c r="R77" s="10">
        <v>37.14</v>
      </c>
      <c r="S77" s="10">
        <v>22.76</v>
      </c>
      <c r="T77" s="13">
        <v>13.7</v>
      </c>
    </row>
    <row r="78" spans="2:20" ht="14.3" customHeight="1" x14ac:dyDescent="0.25">
      <c r="C78" s="7">
        <v>46105.745834201392</v>
      </c>
      <c r="D78" s="10">
        <v>2</v>
      </c>
      <c r="E78" s="10">
        <v>4</v>
      </c>
      <c r="F78" s="10">
        <v>21010</v>
      </c>
      <c r="G78" s="10">
        <v>371443</v>
      </c>
      <c r="H78" s="10">
        <v>1137.0999999999999</v>
      </c>
      <c r="I78" s="10">
        <v>1169.5999999999999</v>
      </c>
      <c r="J78" s="10">
        <v>27.2</v>
      </c>
      <c r="K78" s="10">
        <v>47.3</v>
      </c>
      <c r="L78" s="18">
        <v>1010.3</v>
      </c>
      <c r="M78" s="10">
        <v>126.6</v>
      </c>
      <c r="N78" s="10">
        <v>95</v>
      </c>
      <c r="O78" s="10">
        <v>56</v>
      </c>
      <c r="P78" s="10">
        <v>1.333</v>
      </c>
      <c r="Q78" s="10">
        <v>61.07</v>
      </c>
      <c r="R78" s="10">
        <v>49.94</v>
      </c>
      <c r="S78" s="10">
        <v>36.51</v>
      </c>
      <c r="T78" s="13">
        <v>12.94</v>
      </c>
    </row>
    <row r="79" spans="2:20" ht="14.3" customHeight="1" x14ac:dyDescent="0.25">
      <c r="C79" s="7">
        <v>46105.788194444445</v>
      </c>
      <c r="D79" s="10">
        <v>3</v>
      </c>
      <c r="E79" s="10">
        <v>2</v>
      </c>
      <c r="F79" s="10">
        <v>21119</v>
      </c>
      <c r="G79" s="10">
        <v>371574</v>
      </c>
      <c r="H79" s="10">
        <v>1137.0999999999999</v>
      </c>
      <c r="I79" s="10">
        <v>1164.7</v>
      </c>
      <c r="J79" s="10">
        <v>21.6</v>
      </c>
      <c r="K79" s="10">
        <v>50.9</v>
      </c>
      <c r="L79" s="18">
        <v>1010.4</v>
      </c>
      <c r="M79" s="10">
        <v>149.9</v>
      </c>
      <c r="N79" s="10">
        <v>114</v>
      </c>
      <c r="O79" s="10">
        <v>56</v>
      </c>
      <c r="P79" s="10">
        <v>1.3149999999999999</v>
      </c>
      <c r="Q79" s="10">
        <v>28.85</v>
      </c>
      <c r="R79" s="10">
        <v>32.840000000000003</v>
      </c>
      <c r="S79" s="10">
        <v>21.69</v>
      </c>
      <c r="T79" s="13">
        <v>12.8</v>
      </c>
    </row>
    <row r="80" spans="2:20" ht="14.3" customHeight="1" x14ac:dyDescent="0.25">
      <c r="C80" s="7">
        <v>46105.829861111109</v>
      </c>
      <c r="D80" s="10">
        <v>1</v>
      </c>
      <c r="E80" s="10">
        <v>2</v>
      </c>
      <c r="F80" s="10">
        <v>21209</v>
      </c>
      <c r="G80" s="10">
        <v>371698</v>
      </c>
      <c r="H80" s="10">
        <v>1159.2</v>
      </c>
      <c r="I80" s="10">
        <v>1155</v>
      </c>
      <c r="J80" s="10">
        <v>18.2</v>
      </c>
      <c r="K80" s="10">
        <v>53.1</v>
      </c>
      <c r="L80" s="18">
        <v>1011</v>
      </c>
      <c r="M80" s="10">
        <v>117.8</v>
      </c>
      <c r="N80" s="10">
        <v>90</v>
      </c>
      <c r="O80" s="10">
        <v>56</v>
      </c>
      <c r="P80" s="10">
        <v>1.3089999999999999</v>
      </c>
      <c r="Q80" s="10">
        <v>92.61</v>
      </c>
      <c r="R80" s="10">
        <v>66.650000000000006</v>
      </c>
      <c r="S80" s="10">
        <v>54.61</v>
      </c>
      <c r="T80" s="14">
        <v>12.72</v>
      </c>
    </row>
    <row r="81" spans="3:20" ht="14.3" customHeight="1" x14ac:dyDescent="0.25">
      <c r="C81" s="7">
        <v>46105.871527662035</v>
      </c>
      <c r="D81" s="10">
        <v>2</v>
      </c>
      <c r="E81" s="10">
        <v>3</v>
      </c>
      <c r="F81" s="10">
        <v>21313</v>
      </c>
      <c r="G81" s="10">
        <v>371814</v>
      </c>
      <c r="H81" s="10">
        <v>1171.5</v>
      </c>
      <c r="I81" s="10">
        <v>1145.2</v>
      </c>
      <c r="J81" s="10">
        <v>16.5</v>
      </c>
      <c r="K81" s="10">
        <v>62.4</v>
      </c>
      <c r="L81" s="18">
        <v>1011.2</v>
      </c>
      <c r="M81" s="10">
        <v>119.7</v>
      </c>
      <c r="N81" s="10">
        <v>91</v>
      </c>
      <c r="O81" s="10">
        <v>56</v>
      </c>
      <c r="P81" s="10">
        <v>1.3149999999999999</v>
      </c>
      <c r="Q81" s="10">
        <v>83.72</v>
      </c>
      <c r="R81" s="10">
        <v>61.64</v>
      </c>
      <c r="S81" s="10">
        <v>50.31</v>
      </c>
      <c r="T81" s="14">
        <v>12.66</v>
      </c>
    </row>
    <row r="82" spans="3:20" ht="14.3" customHeight="1" x14ac:dyDescent="0.25">
      <c r="C82" s="7">
        <v>46105.913194270834</v>
      </c>
      <c r="D82" s="10">
        <v>4</v>
      </c>
      <c r="E82" s="10">
        <v>3</v>
      </c>
      <c r="F82" s="10">
        <v>21420</v>
      </c>
      <c r="G82" s="10">
        <v>371923</v>
      </c>
      <c r="H82" s="10">
        <v>1129.7</v>
      </c>
      <c r="I82" s="10">
        <v>1142.8</v>
      </c>
      <c r="J82" s="10">
        <v>15</v>
      </c>
      <c r="K82" s="10">
        <v>65.099999999999994</v>
      </c>
      <c r="L82" s="18">
        <v>1011.3</v>
      </c>
      <c r="M82" s="10">
        <v>120.9</v>
      </c>
      <c r="N82" s="10">
        <v>92</v>
      </c>
      <c r="O82" s="10">
        <v>56</v>
      </c>
      <c r="P82" s="10">
        <v>1.3140000000000001</v>
      </c>
      <c r="Q82" s="10">
        <v>78.83</v>
      </c>
      <c r="R82" s="10">
        <v>59.34</v>
      </c>
      <c r="S82" s="10">
        <v>48.62</v>
      </c>
      <c r="T82" s="14">
        <v>12.58</v>
      </c>
    </row>
    <row r="83" spans="3:20" ht="14.3" customHeight="1" x14ac:dyDescent="0.25">
      <c r="C83" s="7">
        <v>46105.954860879632</v>
      </c>
      <c r="D83" s="10">
        <v>3</v>
      </c>
      <c r="E83" s="10">
        <v>1</v>
      </c>
      <c r="F83" s="10">
        <v>21516</v>
      </c>
      <c r="G83" s="10">
        <v>372023</v>
      </c>
      <c r="H83" s="10">
        <v>1154.3</v>
      </c>
      <c r="I83" s="10">
        <v>1140.3</v>
      </c>
      <c r="J83" s="10">
        <v>14.3</v>
      </c>
      <c r="K83" s="10">
        <v>70.599999999999994</v>
      </c>
      <c r="L83" s="18">
        <v>1011.8</v>
      </c>
      <c r="M83" s="10">
        <v>113.4</v>
      </c>
      <c r="N83" s="10">
        <v>86</v>
      </c>
      <c r="O83" s="10">
        <v>56</v>
      </c>
      <c r="P83" s="10">
        <v>1.319</v>
      </c>
      <c r="Q83" s="10">
        <v>121.23</v>
      </c>
      <c r="R83" s="10">
        <v>81.81</v>
      </c>
      <c r="S83" s="10">
        <v>64.84</v>
      </c>
      <c r="T83" s="14">
        <v>12.52</v>
      </c>
    </row>
    <row r="84" spans="3:20" ht="14.3" customHeight="1" x14ac:dyDescent="0.25">
      <c r="C84" s="7">
        <v>46105.996527488423</v>
      </c>
      <c r="D84" s="10">
        <v>5</v>
      </c>
      <c r="E84" s="10">
        <v>2</v>
      </c>
      <c r="F84" s="10">
        <v>21618</v>
      </c>
      <c r="G84" s="10">
        <v>372130</v>
      </c>
      <c r="H84" s="10">
        <v>1161.5999999999999</v>
      </c>
      <c r="I84" s="10">
        <v>1137.9000000000001</v>
      </c>
      <c r="J84" s="10">
        <v>13.8</v>
      </c>
      <c r="K84" s="10">
        <v>70.099999999999994</v>
      </c>
      <c r="L84" s="18">
        <v>1011.8</v>
      </c>
      <c r="M84" s="10">
        <v>116</v>
      </c>
      <c r="N84" s="10">
        <v>88</v>
      </c>
      <c r="O84" s="10">
        <v>56</v>
      </c>
      <c r="P84" s="10">
        <v>1.3180000000000001</v>
      </c>
      <c r="Q84" s="10">
        <v>102.47</v>
      </c>
      <c r="R84" s="10">
        <v>71.87</v>
      </c>
      <c r="S84" s="10">
        <v>58.47</v>
      </c>
      <c r="T84" s="14">
        <v>12.48</v>
      </c>
    </row>
    <row r="85" spans="3:20" ht="14.3" customHeight="1" x14ac:dyDescent="0.25">
      <c r="C85" s="7">
        <v>46106.038194097222</v>
      </c>
      <c r="D85" s="10">
        <v>0</v>
      </c>
      <c r="E85" s="10">
        <v>1</v>
      </c>
      <c r="F85" s="10">
        <v>21734</v>
      </c>
      <c r="G85" s="10">
        <v>372244</v>
      </c>
      <c r="H85" s="10">
        <v>1154.3</v>
      </c>
      <c r="I85" s="10">
        <v>1140.3</v>
      </c>
      <c r="J85" s="10">
        <v>13.3</v>
      </c>
      <c r="K85" s="10">
        <v>68.900000000000006</v>
      </c>
      <c r="L85" s="18">
        <v>1011.5</v>
      </c>
      <c r="M85" s="10">
        <v>132.6</v>
      </c>
      <c r="N85" s="10">
        <v>101</v>
      </c>
      <c r="O85" s="10">
        <v>56</v>
      </c>
      <c r="P85" s="10">
        <v>1.3129999999999999</v>
      </c>
      <c r="Q85" s="10">
        <v>48.71</v>
      </c>
      <c r="R85" s="10">
        <v>43.39</v>
      </c>
      <c r="S85" s="10">
        <v>34.46</v>
      </c>
      <c r="T85" s="14">
        <v>12.43</v>
      </c>
    </row>
    <row r="86" spans="3:20" ht="14.3" customHeight="1" x14ac:dyDescent="0.25">
      <c r="C86" s="7">
        <v>46106.079860706021</v>
      </c>
      <c r="D86" s="10">
        <v>2</v>
      </c>
      <c r="E86" s="10">
        <v>1</v>
      </c>
      <c r="F86" s="10">
        <v>21821</v>
      </c>
      <c r="G86" s="10">
        <v>372361</v>
      </c>
      <c r="H86" s="10">
        <v>1088</v>
      </c>
      <c r="I86" s="10">
        <v>1140.3</v>
      </c>
      <c r="J86" s="10">
        <v>13.2</v>
      </c>
      <c r="K86" s="10">
        <v>71.400000000000006</v>
      </c>
      <c r="L86" s="18">
        <v>1011.3</v>
      </c>
      <c r="M86" s="10">
        <v>112.7</v>
      </c>
      <c r="N86" s="10">
        <v>86</v>
      </c>
      <c r="O86" s="10">
        <v>56</v>
      </c>
      <c r="P86" s="10">
        <v>1.31</v>
      </c>
      <c r="Q86" s="10">
        <v>127.31</v>
      </c>
      <c r="R86" s="10">
        <v>85.04</v>
      </c>
      <c r="S86" s="10">
        <v>68.13</v>
      </c>
      <c r="T86" s="14">
        <v>12.37</v>
      </c>
    </row>
    <row r="87" spans="3:20" ht="14.3" customHeight="1" x14ac:dyDescent="0.25">
      <c r="C87" s="7">
        <v>46106.121527314812</v>
      </c>
      <c r="D87" s="10">
        <v>2</v>
      </c>
      <c r="E87" s="10">
        <v>2</v>
      </c>
      <c r="F87" s="10">
        <v>21927</v>
      </c>
      <c r="G87" s="10">
        <v>372476</v>
      </c>
      <c r="H87" s="10">
        <v>1159.2</v>
      </c>
      <c r="I87" s="10">
        <v>1140.3</v>
      </c>
      <c r="J87" s="10">
        <v>13.7</v>
      </c>
      <c r="K87" s="10">
        <v>76</v>
      </c>
      <c r="L87" s="18">
        <v>1010.7</v>
      </c>
      <c r="M87" s="10">
        <v>120.6</v>
      </c>
      <c r="N87" s="10">
        <v>92</v>
      </c>
      <c r="O87" s="10">
        <v>56</v>
      </c>
      <c r="P87" s="10">
        <v>1.3109999999999999</v>
      </c>
      <c r="Q87" s="10">
        <v>79.92</v>
      </c>
      <c r="R87" s="10">
        <v>59.92</v>
      </c>
      <c r="S87" s="10">
        <v>48.55</v>
      </c>
      <c r="T87" s="14">
        <v>12.32</v>
      </c>
    </row>
    <row r="88" spans="3:20" ht="14.3" customHeight="1" x14ac:dyDescent="0.25">
      <c r="C88" s="7">
        <v>46106.16319392361</v>
      </c>
      <c r="D88" s="10">
        <v>1</v>
      </c>
      <c r="E88" s="10">
        <v>2</v>
      </c>
      <c r="F88" s="10">
        <v>22020</v>
      </c>
      <c r="G88" s="10">
        <v>372581</v>
      </c>
      <c r="H88" s="10">
        <v>1092.9000000000001</v>
      </c>
      <c r="I88" s="10">
        <v>1137.9000000000001</v>
      </c>
      <c r="J88" s="10">
        <v>13.4</v>
      </c>
      <c r="K88" s="10">
        <v>76.599999999999994</v>
      </c>
      <c r="L88" s="18">
        <v>1010.3</v>
      </c>
      <c r="M88" s="10">
        <v>120.2</v>
      </c>
      <c r="N88" s="10">
        <v>92</v>
      </c>
      <c r="O88" s="10">
        <v>56</v>
      </c>
      <c r="P88" s="10">
        <v>1.306</v>
      </c>
      <c r="Q88" s="10">
        <v>81.59</v>
      </c>
      <c r="R88" s="10">
        <v>60.81</v>
      </c>
      <c r="S88" s="10">
        <v>49.27</v>
      </c>
      <c r="T88" s="14">
        <v>12.26</v>
      </c>
    </row>
    <row r="89" spans="3:20" ht="14.3" customHeight="1" x14ac:dyDescent="0.25">
      <c r="C89" s="7">
        <v>46106.20416666667</v>
      </c>
      <c r="D89" s="10">
        <v>0</v>
      </c>
      <c r="E89" s="10">
        <v>1</v>
      </c>
      <c r="F89" s="10">
        <v>22122</v>
      </c>
      <c r="G89" s="10">
        <v>372696</v>
      </c>
      <c r="H89" s="10">
        <v>1117.4000000000001</v>
      </c>
      <c r="I89" s="10">
        <v>1137.9000000000001</v>
      </c>
      <c r="J89" s="10">
        <v>14.2</v>
      </c>
      <c r="K89" s="10">
        <v>76.400000000000006</v>
      </c>
      <c r="L89" s="18">
        <v>1010.3</v>
      </c>
      <c r="M89" s="10">
        <v>120.4</v>
      </c>
      <c r="N89" s="10">
        <v>92</v>
      </c>
      <c r="O89" s="10">
        <v>56</v>
      </c>
      <c r="P89" s="10">
        <v>1.3089999999999999</v>
      </c>
      <c r="Q89" s="10">
        <v>80.69</v>
      </c>
      <c r="R89" s="10">
        <v>60.33</v>
      </c>
      <c r="S89" s="10">
        <v>48.25</v>
      </c>
      <c r="T89" s="14">
        <v>12.2</v>
      </c>
    </row>
    <row r="90" spans="3:20" ht="14.3" customHeight="1" x14ac:dyDescent="0.25">
      <c r="C90" s="7">
        <v>46106.245833333334</v>
      </c>
      <c r="D90" s="10">
        <v>1</v>
      </c>
      <c r="E90" s="10">
        <v>3</v>
      </c>
      <c r="F90" s="10">
        <v>22231</v>
      </c>
      <c r="G90" s="10">
        <v>372807</v>
      </c>
      <c r="H90" s="10">
        <v>1119.9000000000001</v>
      </c>
      <c r="I90" s="10">
        <v>1137.9000000000001</v>
      </c>
      <c r="J90" s="10">
        <v>13.3</v>
      </c>
      <c r="K90" s="10">
        <v>72.599999999999994</v>
      </c>
      <c r="L90" s="18">
        <v>1010.5</v>
      </c>
      <c r="M90" s="10">
        <v>129.30000000000001</v>
      </c>
      <c r="N90" s="10">
        <v>99</v>
      </c>
      <c r="O90" s="10">
        <v>56</v>
      </c>
      <c r="P90" s="10">
        <v>1.306</v>
      </c>
      <c r="Q90" s="10">
        <v>55.01</v>
      </c>
      <c r="R90" s="10">
        <v>46.72</v>
      </c>
      <c r="S90" s="10">
        <v>37.32</v>
      </c>
      <c r="T90" s="14">
        <v>12.06</v>
      </c>
    </row>
    <row r="91" spans="3:20" ht="14.3" customHeight="1" x14ac:dyDescent="0.25">
      <c r="C91" s="7">
        <v>46106.287499999999</v>
      </c>
      <c r="D91" s="10">
        <v>4</v>
      </c>
      <c r="E91" s="10">
        <v>6</v>
      </c>
      <c r="F91" s="10">
        <v>22315</v>
      </c>
      <c r="G91" s="10">
        <v>372940</v>
      </c>
      <c r="H91" s="10">
        <v>1085.5</v>
      </c>
      <c r="I91" s="10">
        <v>1140.3</v>
      </c>
      <c r="J91" s="10">
        <v>12.8</v>
      </c>
      <c r="K91" s="10">
        <v>72.599999999999994</v>
      </c>
      <c r="L91" s="18">
        <v>1010.9</v>
      </c>
      <c r="M91" s="10">
        <v>113.6</v>
      </c>
      <c r="N91" s="10">
        <v>87</v>
      </c>
      <c r="O91" s="10">
        <v>56</v>
      </c>
      <c r="P91" s="10">
        <v>1.306</v>
      </c>
      <c r="Q91" s="10">
        <v>119.65</v>
      </c>
      <c r="R91" s="10">
        <v>80.98</v>
      </c>
      <c r="S91" s="10">
        <v>65.12</v>
      </c>
      <c r="T91" s="14">
        <v>11.99</v>
      </c>
    </row>
    <row r="92" spans="3:20" ht="14.3" customHeight="1" x14ac:dyDescent="0.25">
      <c r="C92" s="7">
        <v>46106.329861111109</v>
      </c>
      <c r="D92" s="10">
        <v>1</v>
      </c>
      <c r="E92" s="10">
        <v>2</v>
      </c>
      <c r="F92" s="10">
        <v>22407</v>
      </c>
      <c r="G92" s="10">
        <v>373098</v>
      </c>
      <c r="H92" s="10">
        <v>1117.4000000000001</v>
      </c>
      <c r="I92" s="10">
        <v>1142.8</v>
      </c>
      <c r="J92" s="10">
        <v>15.9</v>
      </c>
      <c r="K92" s="10">
        <v>68.3</v>
      </c>
      <c r="L92" s="18">
        <v>1011.1</v>
      </c>
      <c r="M92" s="10">
        <v>143.5</v>
      </c>
      <c r="N92" s="10">
        <v>109</v>
      </c>
      <c r="O92" s="10">
        <v>56</v>
      </c>
      <c r="P92" s="10">
        <v>1.3160000000000001</v>
      </c>
      <c r="Q92" s="10">
        <v>34.46</v>
      </c>
      <c r="R92" s="10">
        <v>35.840000000000003</v>
      </c>
      <c r="S92" s="10">
        <v>25.5</v>
      </c>
      <c r="T92" s="14">
        <v>12.02</v>
      </c>
    </row>
    <row r="93" spans="3:20" ht="14.3" customHeight="1" x14ac:dyDescent="0.25">
      <c r="C93" s="20">
        <v>46106.371527777781</v>
      </c>
      <c r="D93" s="10">
        <v>1</v>
      </c>
      <c r="E93" s="15">
        <v>26</v>
      </c>
      <c r="F93" s="10">
        <v>22539</v>
      </c>
      <c r="G93" s="15">
        <v>373861</v>
      </c>
      <c r="H93" s="10">
        <v>1100.2</v>
      </c>
      <c r="I93" s="10">
        <v>1155</v>
      </c>
      <c r="J93" s="10">
        <v>22.8</v>
      </c>
      <c r="K93" s="10">
        <v>42.9</v>
      </c>
      <c r="L93" s="18">
        <v>1011</v>
      </c>
      <c r="M93" s="15">
        <v>501.2</v>
      </c>
      <c r="N93" s="15">
        <v>382</v>
      </c>
      <c r="O93" s="10">
        <v>56</v>
      </c>
      <c r="P93" s="10">
        <v>1.3120000000000001</v>
      </c>
      <c r="Q93" s="10">
        <v>-6.26</v>
      </c>
      <c r="R93" s="10">
        <v>14.28</v>
      </c>
      <c r="S93" s="10">
        <v>69.38</v>
      </c>
      <c r="T93" s="10">
        <v>12.75</v>
      </c>
    </row>
    <row r="94" spans="3:20" ht="14.3" customHeight="1" x14ac:dyDescent="0.25">
      <c r="C94" s="20">
        <v>46106.413194502318</v>
      </c>
      <c r="D94" s="10">
        <v>3</v>
      </c>
      <c r="E94" s="10">
        <v>4</v>
      </c>
      <c r="F94" s="10">
        <v>22660</v>
      </c>
      <c r="G94" s="15">
        <v>374511</v>
      </c>
      <c r="H94" s="10">
        <v>1134.5999999999999</v>
      </c>
      <c r="I94" s="10">
        <v>1162.3</v>
      </c>
      <c r="J94" s="10">
        <v>24.9</v>
      </c>
      <c r="K94" s="10">
        <v>41.7</v>
      </c>
      <c r="L94" s="18">
        <v>1011.1</v>
      </c>
      <c r="M94" s="15">
        <v>546</v>
      </c>
      <c r="N94" s="15">
        <v>414</v>
      </c>
      <c r="O94" s="10">
        <v>56</v>
      </c>
      <c r="P94" s="10">
        <v>1.319</v>
      </c>
      <c r="Q94" s="10">
        <v>-6.78</v>
      </c>
      <c r="R94" s="10">
        <v>14</v>
      </c>
      <c r="S94" s="10">
        <v>-92.56</v>
      </c>
      <c r="T94" s="14">
        <v>12.84</v>
      </c>
    </row>
    <row r="95" spans="3:20" ht="14.3" customHeight="1" x14ac:dyDescent="0.25">
      <c r="C95" s="7">
        <v>46106.454861226855</v>
      </c>
      <c r="D95" s="10">
        <v>2</v>
      </c>
      <c r="E95" s="10">
        <v>4</v>
      </c>
      <c r="F95" s="10">
        <v>22853</v>
      </c>
      <c r="G95" s="10">
        <v>374698</v>
      </c>
      <c r="H95" s="10">
        <v>1191.0999999999999</v>
      </c>
      <c r="I95" s="10">
        <v>1176.9000000000001</v>
      </c>
      <c r="J95" s="10">
        <v>31.5</v>
      </c>
      <c r="K95" s="10">
        <v>30.5</v>
      </c>
      <c r="L95" s="19">
        <v>1010.6</v>
      </c>
      <c r="M95" s="10">
        <v>234.3</v>
      </c>
      <c r="N95" s="10">
        <v>178</v>
      </c>
      <c r="O95" s="10">
        <v>56</v>
      </c>
      <c r="P95" s="10">
        <v>1.3169999999999999</v>
      </c>
      <c r="Q95" s="10">
        <v>3.96</v>
      </c>
      <c r="R95" s="10">
        <v>19.690000000000001</v>
      </c>
      <c r="S95" s="10">
        <v>-35.380000000000003</v>
      </c>
      <c r="T95" s="14">
        <v>13.07</v>
      </c>
    </row>
    <row r="96" spans="3:20" ht="14.3" customHeight="1" x14ac:dyDescent="0.25">
      <c r="C96" s="7">
        <v>46106.496527951385</v>
      </c>
      <c r="D96" s="10">
        <v>3</v>
      </c>
      <c r="E96" s="10">
        <v>4</v>
      </c>
      <c r="F96" s="10">
        <v>23150</v>
      </c>
      <c r="G96" s="10">
        <v>374842</v>
      </c>
      <c r="H96" s="10">
        <v>1169</v>
      </c>
      <c r="I96" s="10">
        <v>1186.7</v>
      </c>
      <c r="J96" s="10">
        <v>35.5</v>
      </c>
      <c r="K96" s="10">
        <v>25.1</v>
      </c>
      <c r="L96" s="19">
        <v>1010</v>
      </c>
      <c r="M96" s="10">
        <v>267.39999999999998</v>
      </c>
      <c r="N96" s="10">
        <v>204</v>
      </c>
      <c r="O96" s="10">
        <v>56</v>
      </c>
      <c r="P96" s="10">
        <v>1.3109999999999999</v>
      </c>
      <c r="Q96" s="10">
        <v>0.95</v>
      </c>
      <c r="R96" s="10">
        <v>18.100000000000001</v>
      </c>
      <c r="S96" s="10">
        <v>-40.17</v>
      </c>
      <c r="T96" s="14">
        <v>13.27</v>
      </c>
    </row>
    <row r="97" spans="3:20" ht="14.3" customHeight="1" x14ac:dyDescent="0.25">
      <c r="C97" s="7">
        <v>46106.538194675923</v>
      </c>
      <c r="D97" s="10">
        <v>1</v>
      </c>
      <c r="E97" s="10">
        <v>2</v>
      </c>
      <c r="F97" s="10">
        <v>23340</v>
      </c>
      <c r="G97" s="10">
        <v>374957</v>
      </c>
      <c r="H97" s="10">
        <v>1137.0999999999999</v>
      </c>
      <c r="I97" s="10">
        <v>1189.2</v>
      </c>
      <c r="J97" s="10">
        <v>36.799999999999997</v>
      </c>
      <c r="K97" s="10">
        <v>23.2</v>
      </c>
      <c r="L97" s="19">
        <v>1009.2</v>
      </c>
      <c r="M97" s="10">
        <v>181.3</v>
      </c>
      <c r="N97" s="10">
        <v>139</v>
      </c>
      <c r="O97" s="10">
        <v>56</v>
      </c>
      <c r="P97" s="10">
        <v>1.304</v>
      </c>
      <c r="Q97" s="10">
        <v>13.74</v>
      </c>
      <c r="R97" s="10">
        <v>24.87</v>
      </c>
      <c r="S97" s="10">
        <v>-26.55</v>
      </c>
      <c r="T97" s="14">
        <v>13.5</v>
      </c>
    </row>
    <row r="98" spans="3:20" ht="14.3" customHeight="1" x14ac:dyDescent="0.25">
      <c r="C98" s="7">
        <v>46106.579861342594</v>
      </c>
      <c r="D98" s="10">
        <v>1</v>
      </c>
      <c r="E98" s="10">
        <v>4</v>
      </c>
      <c r="F98" s="10">
        <v>23465</v>
      </c>
      <c r="G98" s="10">
        <v>375067</v>
      </c>
      <c r="H98" s="10">
        <v>1191.0999999999999</v>
      </c>
      <c r="I98" s="10">
        <v>1191.5999999999999</v>
      </c>
      <c r="J98" s="10">
        <v>38.6</v>
      </c>
      <c r="K98" s="10">
        <v>23</v>
      </c>
      <c r="L98" s="19">
        <v>1008.6</v>
      </c>
      <c r="M98" s="10">
        <v>134.6</v>
      </c>
      <c r="N98" s="10">
        <v>103</v>
      </c>
      <c r="O98" s="10">
        <v>56</v>
      </c>
      <c r="P98" s="10">
        <v>1.3069999999999999</v>
      </c>
      <c r="Q98" s="10">
        <v>45.51</v>
      </c>
      <c r="R98" s="10">
        <v>41.96</v>
      </c>
      <c r="S98" s="10">
        <v>30.28</v>
      </c>
      <c r="T98" s="14">
        <v>13.97</v>
      </c>
    </row>
    <row r="99" spans="3:20" ht="14.3" customHeight="1" x14ac:dyDescent="0.25">
      <c r="C99" s="7">
        <v>46106.621528067131</v>
      </c>
      <c r="D99" s="10">
        <v>0</v>
      </c>
      <c r="E99" s="10">
        <v>0</v>
      </c>
      <c r="F99" s="10">
        <v>23553</v>
      </c>
      <c r="G99" s="10">
        <v>375182</v>
      </c>
      <c r="H99" s="10">
        <v>1203.4000000000001</v>
      </c>
      <c r="I99" s="10">
        <v>1189.2</v>
      </c>
      <c r="J99" s="10">
        <v>35.200000000000003</v>
      </c>
      <c r="K99" s="10">
        <v>27.7</v>
      </c>
      <c r="L99" s="19">
        <v>1007.9</v>
      </c>
      <c r="M99" s="10">
        <v>122.2</v>
      </c>
      <c r="N99" s="10">
        <v>94</v>
      </c>
      <c r="O99" s="10">
        <v>56</v>
      </c>
      <c r="P99" s="10">
        <v>1.3</v>
      </c>
      <c r="Q99" s="10">
        <v>73.94</v>
      </c>
      <c r="R99" s="10">
        <v>56.75</v>
      </c>
      <c r="S99" s="10">
        <v>43.04</v>
      </c>
      <c r="T99" s="14">
        <v>13.95</v>
      </c>
    </row>
    <row r="100" spans="3:20" ht="14.3" customHeight="1" x14ac:dyDescent="0.25">
      <c r="C100" s="7">
        <v>46106.663194791669</v>
      </c>
      <c r="D100" s="10">
        <v>3</v>
      </c>
      <c r="E100" s="10">
        <v>0</v>
      </c>
      <c r="F100" s="10">
        <v>23653</v>
      </c>
      <c r="G100" s="10">
        <v>375272</v>
      </c>
      <c r="H100" s="10">
        <v>1205.8</v>
      </c>
      <c r="I100" s="10">
        <v>1194</v>
      </c>
      <c r="J100" s="10">
        <v>38.1</v>
      </c>
      <c r="K100" s="10">
        <v>25.2</v>
      </c>
      <c r="L100" s="19">
        <v>1007.2</v>
      </c>
      <c r="M100" s="10">
        <v>102.5</v>
      </c>
      <c r="N100" s="10">
        <v>79</v>
      </c>
      <c r="O100" s="10">
        <v>56</v>
      </c>
      <c r="P100" s="10">
        <v>1.2969999999999999</v>
      </c>
      <c r="Q100" s="10">
        <v>408.01</v>
      </c>
      <c r="R100" s="10">
        <v>233.96</v>
      </c>
      <c r="S100" s="10">
        <v>112.12</v>
      </c>
      <c r="T100" s="14">
        <v>13.1</v>
      </c>
    </row>
    <row r="101" spans="3:20" ht="14.3" customHeight="1" x14ac:dyDescent="0.25">
      <c r="C101" s="7">
        <v>46106.704861516206</v>
      </c>
      <c r="D101" s="10">
        <v>0</v>
      </c>
      <c r="E101" s="10">
        <v>2</v>
      </c>
      <c r="F101" s="10">
        <v>23751</v>
      </c>
      <c r="G101" s="10">
        <v>375382</v>
      </c>
      <c r="H101" s="10">
        <v>1191.0999999999999</v>
      </c>
      <c r="I101" s="10">
        <v>1184.3</v>
      </c>
      <c r="J101" s="10">
        <v>34.1</v>
      </c>
      <c r="K101" s="10">
        <v>28.9</v>
      </c>
      <c r="L101" s="19">
        <v>1006.9</v>
      </c>
      <c r="M101" s="10">
        <v>113.5</v>
      </c>
      <c r="N101" s="10">
        <v>88</v>
      </c>
      <c r="O101" s="10">
        <v>56</v>
      </c>
      <c r="P101" s="10">
        <v>1.2889999999999999</v>
      </c>
      <c r="Q101" s="10">
        <v>120.74</v>
      </c>
      <c r="R101" s="10">
        <v>81.55</v>
      </c>
      <c r="S101" s="10">
        <v>59.38</v>
      </c>
      <c r="T101" s="14">
        <v>13.09</v>
      </c>
    </row>
    <row r="102" spans="3:20" ht="14.3" customHeight="1" x14ac:dyDescent="0.25">
      <c r="C102" s="7">
        <v>46106.746528240743</v>
      </c>
      <c r="D102" s="10">
        <v>0</v>
      </c>
      <c r="E102" s="10">
        <v>2</v>
      </c>
      <c r="F102" s="10">
        <v>23858</v>
      </c>
      <c r="G102" s="10">
        <v>375492</v>
      </c>
      <c r="H102" s="10">
        <v>1183.7</v>
      </c>
      <c r="I102" s="10">
        <v>1167.2</v>
      </c>
      <c r="J102" s="10">
        <v>25</v>
      </c>
      <c r="K102" s="10">
        <v>44</v>
      </c>
      <c r="L102" s="19">
        <v>1006.9</v>
      </c>
      <c r="M102" s="10">
        <v>112.7</v>
      </c>
      <c r="N102" s="10">
        <v>88</v>
      </c>
      <c r="O102" s="10">
        <v>56</v>
      </c>
      <c r="P102" s="10">
        <v>1.2809999999999999</v>
      </c>
      <c r="Q102" s="10">
        <v>126.84</v>
      </c>
      <c r="R102" s="10">
        <v>84.79</v>
      </c>
      <c r="S102" s="10">
        <v>63.23</v>
      </c>
      <c r="T102" s="14">
        <v>12.86</v>
      </c>
    </row>
    <row r="103" spans="3:20" ht="14.3" customHeight="1" x14ac:dyDescent="0.25">
      <c r="C103" s="7">
        <v>46106.788888888892</v>
      </c>
      <c r="D103" s="10">
        <v>2</v>
      </c>
      <c r="E103" s="10">
        <v>2</v>
      </c>
      <c r="F103" s="10">
        <v>23957</v>
      </c>
      <c r="G103" s="10">
        <v>375611</v>
      </c>
      <c r="H103" s="10">
        <v>1161.0999999999999</v>
      </c>
      <c r="I103" s="10">
        <v>1152.5</v>
      </c>
      <c r="J103" s="10">
        <v>19.2</v>
      </c>
      <c r="K103" s="10">
        <v>56.5</v>
      </c>
      <c r="L103" s="19">
        <v>1006.8</v>
      </c>
      <c r="M103" s="10">
        <v>121.1</v>
      </c>
      <c r="N103" s="10">
        <v>95</v>
      </c>
      <c r="O103" s="10">
        <v>56</v>
      </c>
      <c r="P103" s="10">
        <v>1.2749999999999999</v>
      </c>
      <c r="Q103" s="10">
        <v>77.849999999999994</v>
      </c>
      <c r="R103" s="10">
        <v>58.83</v>
      </c>
      <c r="S103" s="10">
        <v>46.97</v>
      </c>
      <c r="T103" s="14">
        <v>12.74</v>
      </c>
    </row>
    <row r="104" spans="3:20" ht="14.3" customHeight="1" x14ac:dyDescent="0.25">
      <c r="C104" s="7">
        <v>46106.830555555556</v>
      </c>
      <c r="D104" s="10">
        <v>1</v>
      </c>
      <c r="E104" s="10">
        <v>1</v>
      </c>
      <c r="F104" s="10">
        <v>24064</v>
      </c>
      <c r="G104" s="10">
        <v>375734</v>
      </c>
      <c r="H104" s="10">
        <v>1102.7</v>
      </c>
      <c r="I104" s="10">
        <v>1145.2</v>
      </c>
      <c r="J104" s="10">
        <v>16.8</v>
      </c>
      <c r="K104" s="10">
        <v>61.2</v>
      </c>
      <c r="L104" s="19">
        <v>1007</v>
      </c>
      <c r="M104" s="10">
        <v>131.1</v>
      </c>
      <c r="N104" s="10">
        <v>103</v>
      </c>
      <c r="O104" s="10">
        <v>56</v>
      </c>
      <c r="P104" s="10">
        <v>1.2729999999999999</v>
      </c>
      <c r="Q104" s="10">
        <v>51.41</v>
      </c>
      <c r="R104" s="10">
        <v>44.82</v>
      </c>
      <c r="S104" s="10">
        <v>35.33</v>
      </c>
      <c r="T104" s="14">
        <v>12.66</v>
      </c>
    </row>
    <row r="105" spans="3:20" ht="14.3" customHeight="1" x14ac:dyDescent="0.25">
      <c r="C105" s="7">
        <v>46106.87222222222</v>
      </c>
      <c r="D105" s="10">
        <v>3</v>
      </c>
      <c r="E105" s="10">
        <v>0</v>
      </c>
      <c r="F105" s="10">
        <v>24164</v>
      </c>
      <c r="G105" s="10">
        <v>375858</v>
      </c>
      <c r="H105" s="10">
        <v>1100.2</v>
      </c>
      <c r="I105" s="10">
        <v>1142.8</v>
      </c>
      <c r="J105" s="10">
        <v>15</v>
      </c>
      <c r="K105" s="10">
        <v>63.3</v>
      </c>
      <c r="L105" s="19">
        <v>1007.1</v>
      </c>
      <c r="M105" s="10">
        <v>121.8</v>
      </c>
      <c r="N105" s="10">
        <v>96</v>
      </c>
      <c r="O105" s="10">
        <v>56</v>
      </c>
      <c r="P105" s="10">
        <v>1.2689999999999999</v>
      </c>
      <c r="Q105" s="10">
        <v>75.459999999999994</v>
      </c>
      <c r="R105" s="10">
        <v>57.56</v>
      </c>
      <c r="S105" s="10">
        <v>47.64</v>
      </c>
      <c r="T105" s="14">
        <v>12.6</v>
      </c>
    </row>
    <row r="106" spans="3:20" ht="14.3" customHeight="1" x14ac:dyDescent="0.25">
      <c r="C106" s="7">
        <v>46106.913194444445</v>
      </c>
      <c r="D106" s="10">
        <v>3</v>
      </c>
      <c r="E106" s="10">
        <v>0</v>
      </c>
      <c r="F106" s="10">
        <v>24257</v>
      </c>
      <c r="G106" s="10">
        <v>375988</v>
      </c>
      <c r="H106" s="10">
        <v>1097.8</v>
      </c>
      <c r="I106" s="10">
        <v>1140.3</v>
      </c>
      <c r="J106" s="10">
        <v>14.4</v>
      </c>
      <c r="K106" s="10">
        <v>65.2</v>
      </c>
      <c r="L106" s="19">
        <v>1006.8</v>
      </c>
      <c r="M106" s="10">
        <v>120.2</v>
      </c>
      <c r="N106" s="10">
        <v>95</v>
      </c>
      <c r="O106" s="10">
        <v>56</v>
      </c>
      <c r="P106" s="10">
        <v>1.2649999999999999</v>
      </c>
      <c r="Q106" s="10">
        <v>81.62</v>
      </c>
      <c r="R106" s="10">
        <v>60.83</v>
      </c>
      <c r="S106" s="10">
        <v>50.65</v>
      </c>
      <c r="T106" s="14">
        <v>12.52</v>
      </c>
    </row>
    <row r="107" spans="3:20" ht="14.3" customHeight="1" x14ac:dyDescent="0.25">
      <c r="C107" s="7">
        <v>46106.954861111109</v>
      </c>
      <c r="D107" s="10">
        <v>0</v>
      </c>
      <c r="E107" s="10">
        <v>4</v>
      </c>
      <c r="F107" s="10">
        <v>24342</v>
      </c>
      <c r="G107" s="10">
        <v>376093</v>
      </c>
      <c r="H107" s="10">
        <v>1097.8</v>
      </c>
      <c r="I107" s="10">
        <v>1137.9000000000001</v>
      </c>
      <c r="J107" s="10">
        <v>13.6</v>
      </c>
      <c r="K107" s="10">
        <v>65.2</v>
      </c>
      <c r="L107" s="19">
        <v>1006.6</v>
      </c>
      <c r="M107" s="10">
        <v>100.9</v>
      </c>
      <c r="N107" s="10">
        <v>80</v>
      </c>
      <c r="O107" s="10">
        <v>56</v>
      </c>
      <c r="P107" s="10">
        <v>1.262</v>
      </c>
      <c r="Q107" s="10">
        <v>597.42999999999995</v>
      </c>
      <c r="R107" s="10">
        <v>334.64</v>
      </c>
      <c r="S107" s="10">
        <v>230.31</v>
      </c>
      <c r="T107" s="14">
        <v>12.48</v>
      </c>
    </row>
    <row r="108" spans="3:20" ht="14.3" customHeight="1" x14ac:dyDescent="0.25">
      <c r="C108" s="7">
        <v>46106.996527662035</v>
      </c>
      <c r="D108" s="10">
        <v>3</v>
      </c>
      <c r="E108" s="10">
        <v>3</v>
      </c>
      <c r="F108" s="10">
        <v>24433</v>
      </c>
      <c r="G108" s="10">
        <v>376231</v>
      </c>
      <c r="H108" s="10">
        <v>1115</v>
      </c>
      <c r="I108" s="10">
        <v>1137.9000000000001</v>
      </c>
      <c r="J108" s="10">
        <v>12.9</v>
      </c>
      <c r="K108" s="10">
        <v>67</v>
      </c>
      <c r="L108" s="19">
        <v>1006.6</v>
      </c>
      <c r="M108" s="10">
        <v>127.3</v>
      </c>
      <c r="N108" s="10">
        <v>101</v>
      </c>
      <c r="O108" s="10">
        <v>56</v>
      </c>
      <c r="P108" s="10">
        <v>1.26</v>
      </c>
      <c r="Q108" s="10">
        <v>59.39</v>
      </c>
      <c r="R108" s="10">
        <v>49.04</v>
      </c>
      <c r="S108" s="10">
        <v>40.69</v>
      </c>
      <c r="T108" s="14">
        <v>12.42</v>
      </c>
    </row>
    <row r="109" spans="3:20" ht="14.3" customHeight="1" x14ac:dyDescent="0.25">
      <c r="C109" s="7">
        <v>46107.038194270834</v>
      </c>
      <c r="D109" s="10">
        <v>2</v>
      </c>
      <c r="E109" s="10">
        <v>3</v>
      </c>
      <c r="F109" s="10">
        <v>24531</v>
      </c>
      <c r="G109" s="10">
        <v>376361</v>
      </c>
      <c r="H109" s="10">
        <v>1149.3</v>
      </c>
      <c r="I109" s="10">
        <v>1135.4000000000001</v>
      </c>
      <c r="J109" s="10">
        <v>12.3</v>
      </c>
      <c r="K109" s="10">
        <v>68.900000000000006</v>
      </c>
      <c r="L109" s="19">
        <v>1006.2</v>
      </c>
      <c r="M109" s="10">
        <v>121.9</v>
      </c>
      <c r="N109" s="10">
        <v>97</v>
      </c>
      <c r="O109" s="10">
        <v>56</v>
      </c>
      <c r="P109" s="10">
        <v>1.256</v>
      </c>
      <c r="Q109" s="10">
        <v>75.16</v>
      </c>
      <c r="R109" s="10">
        <v>57.4</v>
      </c>
      <c r="S109" s="10">
        <v>48.31</v>
      </c>
      <c r="T109" s="14">
        <v>12.35</v>
      </c>
    </row>
    <row r="110" spans="3:20" ht="14.3" customHeight="1" x14ac:dyDescent="0.25">
      <c r="C110" s="7">
        <v>46107.079860937498</v>
      </c>
      <c r="D110" s="10">
        <v>3</v>
      </c>
      <c r="E110" s="10">
        <v>1</v>
      </c>
      <c r="F110" s="10">
        <v>24613</v>
      </c>
      <c r="G110" s="10">
        <v>376498</v>
      </c>
      <c r="H110" s="10">
        <v>1102.7</v>
      </c>
      <c r="I110" s="10">
        <v>1133</v>
      </c>
      <c r="J110" s="10">
        <v>11.9</v>
      </c>
      <c r="K110" s="10">
        <v>69.5</v>
      </c>
      <c r="L110" s="19">
        <v>1005.6</v>
      </c>
      <c r="M110" s="10">
        <v>122.6</v>
      </c>
      <c r="N110" s="10">
        <v>98</v>
      </c>
      <c r="O110" s="10">
        <v>56</v>
      </c>
      <c r="P110" s="10">
        <v>1.2509999999999999</v>
      </c>
      <c r="Q110" s="10">
        <v>72.67</v>
      </c>
      <c r="R110" s="10">
        <v>56.08</v>
      </c>
      <c r="S110" s="10">
        <v>47.32</v>
      </c>
      <c r="T110" s="14">
        <v>12.29</v>
      </c>
    </row>
    <row r="111" spans="3:20" ht="14.3" customHeight="1" x14ac:dyDescent="0.25">
      <c r="C111" s="7">
        <v>46107.121527604169</v>
      </c>
      <c r="D111" s="10">
        <v>1</v>
      </c>
      <c r="E111" s="10">
        <v>2</v>
      </c>
      <c r="F111" s="10">
        <v>24726</v>
      </c>
      <c r="G111" s="10">
        <v>376649</v>
      </c>
      <c r="H111" s="10">
        <v>1100.2</v>
      </c>
      <c r="I111" s="10">
        <v>1135.4000000000001</v>
      </c>
      <c r="J111" s="10">
        <v>11.8</v>
      </c>
      <c r="K111" s="10">
        <v>72</v>
      </c>
      <c r="L111" s="19">
        <v>1005.3</v>
      </c>
      <c r="M111" s="10">
        <v>142.30000000000001</v>
      </c>
      <c r="N111" s="10">
        <v>114</v>
      </c>
      <c r="O111" s="10">
        <v>56</v>
      </c>
      <c r="P111" s="10">
        <v>1.248</v>
      </c>
      <c r="Q111" s="10">
        <v>35.729999999999997</v>
      </c>
      <c r="R111" s="10">
        <v>36.51</v>
      </c>
      <c r="S111" s="10">
        <v>27.34</v>
      </c>
      <c r="T111" s="10">
        <v>12.23</v>
      </c>
    </row>
    <row r="112" spans="3:20" ht="14.3" customHeight="1" x14ac:dyDescent="0.25">
      <c r="C112" s="7">
        <v>46107.163194270834</v>
      </c>
      <c r="D112" s="10">
        <v>1</v>
      </c>
      <c r="E112" s="10">
        <v>1</v>
      </c>
      <c r="F112" s="10">
        <v>24845</v>
      </c>
      <c r="G112" s="10">
        <v>376842</v>
      </c>
      <c r="H112" s="10">
        <v>1122.3</v>
      </c>
      <c r="I112" s="10">
        <v>1133</v>
      </c>
      <c r="J112" s="10">
        <v>11.6</v>
      </c>
      <c r="K112" s="10">
        <v>72.3</v>
      </c>
      <c r="L112" s="19">
        <v>1005.1</v>
      </c>
      <c r="M112" s="10">
        <v>177</v>
      </c>
      <c r="N112" s="10">
        <v>142</v>
      </c>
      <c r="O112" s="10">
        <v>56</v>
      </c>
      <c r="P112" s="10">
        <v>1.2470000000000001</v>
      </c>
      <c r="Q112" s="10">
        <v>15.1</v>
      </c>
      <c r="R112" s="10">
        <v>25.58</v>
      </c>
      <c r="S112" s="10">
        <v>13.3</v>
      </c>
      <c r="T112" s="14">
        <v>12.09</v>
      </c>
    </row>
    <row r="113" spans="3:20" ht="14.3" customHeight="1" x14ac:dyDescent="0.25">
      <c r="C113" s="7">
        <v>46107.204860937498</v>
      </c>
      <c r="D113" s="10">
        <v>0</v>
      </c>
      <c r="E113" s="10">
        <v>0</v>
      </c>
      <c r="F113" s="10">
        <v>24950</v>
      </c>
      <c r="G113" s="10">
        <v>376961</v>
      </c>
      <c r="H113" s="10">
        <v>1159.2</v>
      </c>
      <c r="I113" s="10">
        <v>1137.9000000000001</v>
      </c>
      <c r="J113" s="10">
        <v>13.1</v>
      </c>
      <c r="K113" s="10">
        <v>75.2</v>
      </c>
      <c r="L113" s="19">
        <v>1005.3</v>
      </c>
      <c r="M113" s="10">
        <v>126.7</v>
      </c>
      <c r="N113" s="10">
        <v>101</v>
      </c>
      <c r="O113" s="10">
        <v>56</v>
      </c>
      <c r="P113" s="10">
        <v>1.254</v>
      </c>
      <c r="Q113" s="10">
        <v>60.93</v>
      </c>
      <c r="R113" s="10">
        <v>49.86</v>
      </c>
      <c r="S113" s="10">
        <v>40.35</v>
      </c>
      <c r="T113" s="14">
        <v>11.99</v>
      </c>
    </row>
    <row r="114" spans="3:20" ht="14.3" customHeight="1" x14ac:dyDescent="0.25">
      <c r="C114" s="7">
        <v>46107.246527604169</v>
      </c>
      <c r="D114" s="10">
        <v>0</v>
      </c>
      <c r="E114" s="10">
        <v>2</v>
      </c>
      <c r="F114" s="10">
        <v>25042</v>
      </c>
      <c r="G114" s="10">
        <v>377189</v>
      </c>
      <c r="H114" s="10">
        <v>1161.0999999999999</v>
      </c>
      <c r="I114" s="10">
        <v>1137.9000000000001</v>
      </c>
      <c r="J114" s="10">
        <v>13.1</v>
      </c>
      <c r="K114" s="10">
        <v>74.5</v>
      </c>
      <c r="L114" s="19">
        <v>1005.8</v>
      </c>
      <c r="M114" s="10">
        <v>110.8</v>
      </c>
      <c r="N114" s="10">
        <v>88</v>
      </c>
      <c r="O114" s="10">
        <v>57</v>
      </c>
      <c r="P114" s="10">
        <v>1.26</v>
      </c>
      <c r="Q114" s="10">
        <v>146.55000000000001</v>
      </c>
      <c r="R114" s="10">
        <v>95.23</v>
      </c>
      <c r="S114" s="10">
        <v>73.28</v>
      </c>
      <c r="T114" s="14">
        <v>11.88</v>
      </c>
    </row>
    <row r="115" spans="3:20" ht="14.3" customHeight="1" x14ac:dyDescent="0.25">
      <c r="C115" s="7">
        <v>46107.288194270834</v>
      </c>
      <c r="D115" s="10">
        <v>3</v>
      </c>
      <c r="E115" s="10">
        <v>1</v>
      </c>
      <c r="F115" s="10">
        <v>25169</v>
      </c>
      <c r="G115" s="10">
        <v>377323</v>
      </c>
      <c r="H115" s="10">
        <v>1129.7</v>
      </c>
      <c r="I115" s="10">
        <v>1142.8</v>
      </c>
      <c r="J115" s="10">
        <v>14.4</v>
      </c>
      <c r="K115" s="10">
        <v>65.5</v>
      </c>
      <c r="L115" s="19">
        <v>1005.9</v>
      </c>
      <c r="M115" s="10">
        <v>134.6</v>
      </c>
      <c r="N115" s="10">
        <v>107</v>
      </c>
      <c r="O115" s="10">
        <v>57</v>
      </c>
      <c r="P115" s="10">
        <v>1.2569999999999999</v>
      </c>
      <c r="Q115" s="10">
        <v>45.54</v>
      </c>
      <c r="R115" s="10">
        <v>41.71</v>
      </c>
      <c r="S115" s="10">
        <v>32.729999999999997</v>
      </c>
      <c r="T115" s="14">
        <v>11.79</v>
      </c>
    </row>
    <row r="116" spans="3:20" ht="14.3" customHeight="1" x14ac:dyDescent="0.25">
      <c r="C116" s="7">
        <v>46107.330555555556</v>
      </c>
      <c r="D116" s="10">
        <v>1</v>
      </c>
      <c r="E116" s="10">
        <v>2</v>
      </c>
      <c r="F116" s="10">
        <v>25288</v>
      </c>
      <c r="G116" s="10">
        <v>377462</v>
      </c>
      <c r="H116" s="10">
        <v>1142</v>
      </c>
      <c r="I116" s="10">
        <v>1150.0999999999999</v>
      </c>
      <c r="J116" s="10">
        <v>18.600000000000001</v>
      </c>
      <c r="K116" s="10">
        <v>44.3</v>
      </c>
      <c r="L116" s="19">
        <v>1006</v>
      </c>
      <c r="M116" s="10">
        <v>142.6</v>
      </c>
      <c r="N116" s="10">
        <v>114</v>
      </c>
      <c r="O116" s="10">
        <v>57</v>
      </c>
      <c r="P116" s="10">
        <v>1.2509999999999999</v>
      </c>
      <c r="Q116" s="10">
        <v>35.380000000000003</v>
      </c>
      <c r="R116" s="10">
        <v>36.33</v>
      </c>
      <c r="S116" s="10">
        <v>27.45</v>
      </c>
      <c r="T116" s="14">
        <v>12.05</v>
      </c>
    </row>
    <row r="117" spans="3:20" ht="14.3" customHeight="1" x14ac:dyDescent="0.25">
      <c r="C117" s="7">
        <v>46107.37222222222</v>
      </c>
      <c r="D117" s="10">
        <v>1</v>
      </c>
      <c r="E117" s="10">
        <v>2</v>
      </c>
      <c r="F117" s="10">
        <v>25408</v>
      </c>
      <c r="G117" s="10">
        <v>377663</v>
      </c>
      <c r="H117" s="10">
        <v>1169</v>
      </c>
      <c r="I117" s="10">
        <v>1162.3</v>
      </c>
      <c r="J117" s="10">
        <v>22.6</v>
      </c>
      <c r="K117" s="10">
        <v>34.700000000000003</v>
      </c>
      <c r="L117" s="19">
        <v>1006.1</v>
      </c>
      <c r="M117" s="10">
        <v>176.5</v>
      </c>
      <c r="N117" s="10">
        <v>141</v>
      </c>
      <c r="O117" s="10">
        <v>57</v>
      </c>
      <c r="P117" s="10">
        <v>1.252</v>
      </c>
      <c r="Q117" s="10">
        <v>15.27</v>
      </c>
      <c r="R117" s="10">
        <v>25.68</v>
      </c>
      <c r="S117" s="10">
        <v>13.65</v>
      </c>
      <c r="T117" s="14">
        <v>12.6</v>
      </c>
    </row>
    <row r="118" spans="3:20" ht="14.3" customHeight="1" x14ac:dyDescent="0.25">
      <c r="C118" s="7">
        <v>46107.413888773146</v>
      </c>
      <c r="D118" s="10">
        <v>1</v>
      </c>
      <c r="E118" s="10">
        <v>1</v>
      </c>
      <c r="F118" s="10">
        <v>25541</v>
      </c>
      <c r="G118" s="10">
        <v>377802</v>
      </c>
      <c r="H118" s="10">
        <v>1183.7</v>
      </c>
      <c r="I118" s="10">
        <v>1167.2</v>
      </c>
      <c r="J118" s="10">
        <v>25.8</v>
      </c>
      <c r="K118" s="10">
        <v>30.8</v>
      </c>
      <c r="L118" s="19">
        <v>1006.3</v>
      </c>
      <c r="M118" s="10">
        <v>150.80000000000001</v>
      </c>
      <c r="N118" s="10">
        <v>120</v>
      </c>
      <c r="O118" s="10">
        <v>57</v>
      </c>
      <c r="P118" s="10">
        <v>1.256</v>
      </c>
      <c r="Q118" s="10">
        <v>28.2</v>
      </c>
      <c r="R118" s="10">
        <v>32.53</v>
      </c>
      <c r="S118" s="10">
        <v>22.6</v>
      </c>
      <c r="T118" s="14">
        <v>12.89</v>
      </c>
    </row>
    <row r="119" spans="3:20" ht="14.3" customHeight="1" x14ac:dyDescent="0.25">
      <c r="C119" s="7">
        <v>46107.455555381945</v>
      </c>
      <c r="D119" s="10">
        <v>2</v>
      </c>
      <c r="E119" s="10">
        <v>2</v>
      </c>
      <c r="F119" s="10">
        <v>25675</v>
      </c>
      <c r="G119" s="10">
        <v>377913</v>
      </c>
      <c r="H119" s="10">
        <v>1117.4000000000001</v>
      </c>
      <c r="I119" s="10">
        <v>1172.0999999999999</v>
      </c>
      <c r="J119" s="10">
        <v>28.6</v>
      </c>
      <c r="K119" s="10">
        <v>26.7</v>
      </c>
      <c r="L119" s="19">
        <v>1006</v>
      </c>
      <c r="M119" s="10">
        <v>139.30000000000001</v>
      </c>
      <c r="N119" s="10">
        <v>111</v>
      </c>
      <c r="O119" s="10">
        <v>57</v>
      </c>
      <c r="P119" s="10">
        <v>1.2549999999999999</v>
      </c>
      <c r="Q119" s="10">
        <v>39.04</v>
      </c>
      <c r="R119" s="10">
        <v>38.26</v>
      </c>
      <c r="S119" s="10">
        <v>29.35</v>
      </c>
      <c r="T119" s="14">
        <v>13.12</v>
      </c>
    </row>
    <row r="120" spans="3:20" ht="14.3" customHeight="1" x14ac:dyDescent="0.25">
      <c r="C120" s="7">
        <v>46107.497221990743</v>
      </c>
      <c r="D120" s="10">
        <v>0</v>
      </c>
      <c r="E120" s="10">
        <v>1</v>
      </c>
      <c r="F120" s="10">
        <v>25785</v>
      </c>
      <c r="G120" s="10">
        <v>378025</v>
      </c>
      <c r="H120" s="10">
        <v>1191.0999999999999</v>
      </c>
      <c r="I120" s="10">
        <v>1181.8</v>
      </c>
      <c r="J120" s="10">
        <v>30.5</v>
      </c>
      <c r="K120" s="10">
        <v>23.5</v>
      </c>
      <c r="L120" s="19">
        <v>1005.8</v>
      </c>
      <c r="M120" s="10">
        <v>124</v>
      </c>
      <c r="N120" s="10">
        <v>99</v>
      </c>
      <c r="O120" s="10">
        <v>57</v>
      </c>
      <c r="P120" s="10">
        <v>1.252</v>
      </c>
      <c r="Q120" s="10">
        <v>68.22</v>
      </c>
      <c r="R120" s="10">
        <v>53.72</v>
      </c>
      <c r="S120" s="10">
        <v>45.18</v>
      </c>
      <c r="T120" s="14">
        <v>13.38</v>
      </c>
    </row>
    <row r="121" spans="3:20" ht="14.3" customHeight="1" x14ac:dyDescent="0.25">
      <c r="C121" s="7">
        <v>46107.538888599534</v>
      </c>
      <c r="D121" s="10">
        <v>0</v>
      </c>
      <c r="E121" s="10">
        <v>6</v>
      </c>
      <c r="F121" s="10">
        <v>2589</v>
      </c>
      <c r="G121" s="10">
        <v>378145</v>
      </c>
      <c r="H121" s="10">
        <v>1139.5</v>
      </c>
      <c r="I121" s="10">
        <v>1179.4000000000001</v>
      </c>
      <c r="J121" s="10">
        <v>31.8</v>
      </c>
      <c r="K121" s="10">
        <v>21.5</v>
      </c>
      <c r="L121" s="19">
        <v>1005.2</v>
      </c>
      <c r="M121" s="10">
        <v>119.4</v>
      </c>
      <c r="N121" s="10">
        <v>96</v>
      </c>
      <c r="O121" s="10">
        <v>57</v>
      </c>
      <c r="P121" s="10">
        <v>1.244</v>
      </c>
      <c r="Q121" s="10">
        <v>84.75</v>
      </c>
      <c r="R121" s="10">
        <v>62.48</v>
      </c>
      <c r="S121" s="10">
        <v>53.48</v>
      </c>
      <c r="T121" s="14">
        <v>13.6</v>
      </c>
    </row>
    <row r="122" spans="3:20" ht="14.3" customHeight="1" x14ac:dyDescent="0.25">
      <c r="C122" s="7">
        <v>46107.580555092594</v>
      </c>
      <c r="D122" s="10">
        <v>2</v>
      </c>
      <c r="E122" s="10">
        <v>2</v>
      </c>
      <c r="F122" s="10">
        <v>26017</v>
      </c>
      <c r="G122" s="10">
        <v>378255</v>
      </c>
      <c r="H122" s="10">
        <v>1127.2</v>
      </c>
      <c r="I122" s="10">
        <v>1184.3</v>
      </c>
      <c r="J122" s="10">
        <v>34.4</v>
      </c>
      <c r="K122" s="10">
        <v>20.100000000000001</v>
      </c>
      <c r="L122" s="19">
        <v>1004.5</v>
      </c>
      <c r="M122" s="10">
        <v>124.2</v>
      </c>
      <c r="N122" s="10">
        <v>100</v>
      </c>
      <c r="O122" s="10">
        <v>57</v>
      </c>
      <c r="P122" s="10">
        <v>1.242</v>
      </c>
      <c r="Q122" s="10">
        <v>67.709999999999994</v>
      </c>
      <c r="R122" s="10">
        <v>53.45</v>
      </c>
      <c r="S122" s="10">
        <v>44.71</v>
      </c>
      <c r="T122" s="14">
        <v>13.58</v>
      </c>
    </row>
    <row r="123" spans="3:20" ht="14.3" customHeight="1" x14ac:dyDescent="0.25">
      <c r="C123" s="7">
        <v>46107.621527777781</v>
      </c>
      <c r="D123" s="10">
        <v>3</v>
      </c>
      <c r="E123" s="10">
        <v>1</v>
      </c>
      <c r="F123" s="10">
        <v>26126</v>
      </c>
      <c r="G123" s="10">
        <v>378372</v>
      </c>
      <c r="H123" s="10">
        <v>1198.5</v>
      </c>
      <c r="I123" s="10">
        <v>1184.3</v>
      </c>
      <c r="J123" s="10">
        <v>34.200000000000003</v>
      </c>
      <c r="K123" s="10">
        <v>20.3</v>
      </c>
      <c r="L123" s="19">
        <v>1003.8</v>
      </c>
      <c r="M123" s="10">
        <v>114.9</v>
      </c>
      <c r="N123" s="10">
        <v>93</v>
      </c>
      <c r="O123" s="10">
        <v>57</v>
      </c>
      <c r="P123" s="10">
        <v>1.2350000000000001</v>
      </c>
      <c r="Q123" s="10">
        <v>109.88</v>
      </c>
      <c r="R123" s="10">
        <v>75.8</v>
      </c>
      <c r="S123" s="10">
        <v>62.53</v>
      </c>
      <c r="T123" s="14">
        <v>12.84</v>
      </c>
    </row>
    <row r="124" spans="3:20" ht="14.3" customHeight="1" x14ac:dyDescent="0.25">
      <c r="C124" s="7">
        <v>46107.663194444445</v>
      </c>
      <c r="D124" s="10">
        <v>1</v>
      </c>
      <c r="E124" s="10">
        <v>1</v>
      </c>
      <c r="F124" s="10">
        <v>26255</v>
      </c>
      <c r="G124" s="10">
        <v>378481</v>
      </c>
      <c r="H124" s="10">
        <v>1129.7</v>
      </c>
      <c r="I124" s="10">
        <v>1179.4000000000001</v>
      </c>
      <c r="J124" s="10">
        <v>33.299999999999997</v>
      </c>
      <c r="K124" s="10">
        <v>21</v>
      </c>
      <c r="L124" s="19">
        <v>1003.3</v>
      </c>
      <c r="M124" s="10">
        <v>129</v>
      </c>
      <c r="N124" s="10">
        <v>105</v>
      </c>
      <c r="O124" s="10">
        <v>57</v>
      </c>
      <c r="P124" s="10">
        <v>1.2290000000000001</v>
      </c>
      <c r="Q124" s="10">
        <v>55.52</v>
      </c>
      <c r="R124" s="10">
        <v>46.99</v>
      </c>
      <c r="S124" s="10">
        <v>38.630000000000003</v>
      </c>
      <c r="T124" s="14">
        <v>12.75</v>
      </c>
    </row>
    <row r="125" spans="3:20" ht="14.3" customHeight="1" x14ac:dyDescent="0.25">
      <c r="C125" s="7">
        <v>46107.704861111109</v>
      </c>
      <c r="D125" s="10">
        <v>2</v>
      </c>
      <c r="E125" s="10">
        <v>0</v>
      </c>
      <c r="F125" s="10">
        <v>26365</v>
      </c>
      <c r="G125" s="10">
        <v>378594</v>
      </c>
      <c r="H125" s="10">
        <v>1129.7</v>
      </c>
      <c r="I125" s="10">
        <v>1176.9000000000001</v>
      </c>
      <c r="J125" s="10">
        <v>30.8</v>
      </c>
      <c r="K125" s="10">
        <v>18.5</v>
      </c>
      <c r="L125" s="19">
        <v>1003.1</v>
      </c>
      <c r="M125" s="10">
        <v>112</v>
      </c>
      <c r="N125" s="10">
        <v>92</v>
      </c>
      <c r="O125" s="10">
        <v>57</v>
      </c>
      <c r="P125" s="10">
        <v>1.218</v>
      </c>
      <c r="Q125" s="10">
        <v>133.81</v>
      </c>
      <c r="R125" s="10">
        <v>88.48</v>
      </c>
      <c r="S125" s="10">
        <v>75.8</v>
      </c>
      <c r="T125" s="14">
        <v>12.71</v>
      </c>
    </row>
    <row r="126" spans="3:20" ht="14.3" customHeight="1" x14ac:dyDescent="0.25">
      <c r="C126" s="7">
        <v>46107.746527662035</v>
      </c>
      <c r="D126" s="10">
        <v>3</v>
      </c>
      <c r="E126" s="10">
        <v>2</v>
      </c>
      <c r="F126" s="10">
        <v>26484</v>
      </c>
      <c r="G126" s="10">
        <v>378704</v>
      </c>
      <c r="H126" s="10">
        <v>1132.2</v>
      </c>
      <c r="I126" s="10">
        <v>1169.5999999999999</v>
      </c>
      <c r="J126" s="10">
        <v>24.4</v>
      </c>
      <c r="K126" s="10">
        <v>27.2</v>
      </c>
      <c r="L126" s="19">
        <v>1003.3</v>
      </c>
      <c r="M126" s="10">
        <v>124.3</v>
      </c>
      <c r="N126" s="10">
        <v>102</v>
      </c>
      <c r="O126" s="10">
        <v>57</v>
      </c>
      <c r="P126" s="10">
        <v>1.2190000000000001</v>
      </c>
      <c r="Q126" s="10">
        <v>67.23</v>
      </c>
      <c r="R126" s="10">
        <v>53.2</v>
      </c>
      <c r="S126" s="10">
        <v>46.5</v>
      </c>
      <c r="T126" s="14">
        <v>12.61</v>
      </c>
    </row>
    <row r="127" spans="3:20" ht="14.3" customHeight="1" x14ac:dyDescent="0.25">
      <c r="C127" s="7">
        <v>46107.788194270834</v>
      </c>
      <c r="D127" s="10">
        <v>2</v>
      </c>
      <c r="E127" s="10">
        <v>0</v>
      </c>
      <c r="F127" s="10">
        <v>26604</v>
      </c>
      <c r="G127" s="10">
        <v>378829</v>
      </c>
      <c r="H127" s="10">
        <v>1117.4000000000001</v>
      </c>
      <c r="I127" s="10">
        <v>1157.4000000000001</v>
      </c>
      <c r="J127" s="10">
        <v>21.4</v>
      </c>
      <c r="K127" s="10">
        <v>41.5</v>
      </c>
      <c r="L127" s="19">
        <v>1003.8</v>
      </c>
      <c r="M127" s="10">
        <v>130.9</v>
      </c>
      <c r="N127" s="10">
        <v>106</v>
      </c>
      <c r="O127" s="10">
        <v>57</v>
      </c>
      <c r="P127" s="10">
        <v>1.2350000000000001</v>
      </c>
      <c r="Q127" s="10">
        <v>51.72</v>
      </c>
      <c r="R127" s="10">
        <v>44.98</v>
      </c>
      <c r="S127" s="10">
        <v>36.42</v>
      </c>
      <c r="T127" s="14">
        <v>12.54</v>
      </c>
    </row>
    <row r="128" spans="3:20" ht="14.3" customHeight="1" x14ac:dyDescent="0.25">
      <c r="C128" s="7">
        <v>46107.830555092594</v>
      </c>
      <c r="D128" s="10">
        <v>1</v>
      </c>
      <c r="E128" s="10">
        <v>0</v>
      </c>
      <c r="F128" s="10">
        <v>26707</v>
      </c>
      <c r="G128" s="10">
        <v>378949</v>
      </c>
      <c r="H128" s="10">
        <v>1117.4000000000001</v>
      </c>
      <c r="I128" s="10">
        <v>1152.5</v>
      </c>
      <c r="J128" s="10">
        <v>18.2</v>
      </c>
      <c r="K128" s="10">
        <v>47.6</v>
      </c>
      <c r="L128" s="19">
        <v>1004.5</v>
      </c>
      <c r="M128" s="10">
        <v>119</v>
      </c>
      <c r="N128" s="10">
        <v>96</v>
      </c>
      <c r="O128" s="10">
        <v>57</v>
      </c>
      <c r="P128" s="10">
        <v>1.2390000000000001</v>
      </c>
      <c r="Q128" s="10">
        <v>86.81</v>
      </c>
      <c r="R128" s="10">
        <v>63.57</v>
      </c>
      <c r="S128" s="10">
        <v>53.63</v>
      </c>
      <c r="T128" s="14">
        <v>12.46</v>
      </c>
    </row>
    <row r="129" spans="3:20" ht="14.3" customHeight="1" x14ac:dyDescent="0.25">
      <c r="C129" s="7">
        <v>46107.872221817132</v>
      </c>
      <c r="D129" s="10">
        <v>0</v>
      </c>
      <c r="E129" s="10">
        <v>1</v>
      </c>
      <c r="F129" s="10">
        <v>26813</v>
      </c>
      <c r="G129" s="10">
        <v>379076</v>
      </c>
      <c r="H129" s="10">
        <v>1129.7</v>
      </c>
      <c r="I129" s="10">
        <v>1145.2</v>
      </c>
      <c r="J129" s="10">
        <v>16.7</v>
      </c>
      <c r="K129" s="10">
        <v>51.2</v>
      </c>
      <c r="L129" s="19">
        <v>1005.1</v>
      </c>
      <c r="M129" s="10">
        <v>128.1</v>
      </c>
      <c r="N129" s="10">
        <v>103</v>
      </c>
      <c r="O129" s="10">
        <v>57</v>
      </c>
      <c r="P129" s="10">
        <v>1.244</v>
      </c>
      <c r="Q129" s="10">
        <v>57.56</v>
      </c>
      <c r="R129" s="10">
        <v>48.08</v>
      </c>
      <c r="S129" s="10">
        <v>39.96</v>
      </c>
      <c r="T129" s="14">
        <v>12.38</v>
      </c>
    </row>
    <row r="130" spans="3:20" ht="14.3" customHeight="1" x14ac:dyDescent="0.25">
      <c r="C130" s="7">
        <v>46107.913888541669</v>
      </c>
      <c r="D130" s="10">
        <v>3</v>
      </c>
      <c r="E130" s="10">
        <v>4</v>
      </c>
      <c r="F130" s="10">
        <v>26909</v>
      </c>
      <c r="G130" s="10">
        <v>379200</v>
      </c>
      <c r="H130" s="10">
        <v>1159.2</v>
      </c>
      <c r="I130" s="10">
        <v>1147.5999999999999</v>
      </c>
      <c r="J130" s="10">
        <v>16.2</v>
      </c>
      <c r="K130" s="10">
        <v>53.4</v>
      </c>
      <c r="L130" s="19">
        <v>1005.3</v>
      </c>
      <c r="M130" s="10">
        <v>114.7</v>
      </c>
      <c r="N130" s="10">
        <v>92</v>
      </c>
      <c r="O130" s="10">
        <v>57</v>
      </c>
      <c r="P130" s="10">
        <v>1.2470000000000001</v>
      </c>
      <c r="Q130" s="10">
        <v>111.16</v>
      </c>
      <c r="R130" s="10">
        <v>76.47</v>
      </c>
      <c r="S130" s="10">
        <v>63.73</v>
      </c>
      <c r="T130" s="14">
        <v>12.32</v>
      </c>
    </row>
    <row r="131" spans="3:20" ht="14.3" customHeight="1" x14ac:dyDescent="0.25">
      <c r="C131" s="7">
        <v>46107.955555266206</v>
      </c>
      <c r="D131" s="10">
        <v>1</v>
      </c>
      <c r="E131" s="10">
        <v>2</v>
      </c>
      <c r="F131" s="10">
        <v>27014</v>
      </c>
      <c r="G131" s="10">
        <v>379294</v>
      </c>
      <c r="H131" s="10">
        <v>1166.5</v>
      </c>
      <c r="I131" s="10">
        <v>1147.5999999999999</v>
      </c>
      <c r="J131" s="10">
        <v>17.2</v>
      </c>
      <c r="K131" s="10">
        <v>45.6</v>
      </c>
      <c r="L131" s="19">
        <v>1005.5</v>
      </c>
      <c r="M131" s="10">
        <v>108.2</v>
      </c>
      <c r="N131" s="10">
        <v>87</v>
      </c>
      <c r="O131" s="10">
        <v>57</v>
      </c>
      <c r="P131" s="10">
        <v>1.244</v>
      </c>
      <c r="Q131" s="10">
        <v>185.16</v>
      </c>
      <c r="R131" s="10">
        <v>115.71</v>
      </c>
      <c r="S131" s="10">
        <v>93.35</v>
      </c>
      <c r="T131" s="14">
        <v>12.25</v>
      </c>
    </row>
    <row r="132" spans="3:20" ht="14.3" customHeight="1" x14ac:dyDescent="0.25">
      <c r="C132" s="7">
        <v>46107.997221990743</v>
      </c>
      <c r="D132" s="10">
        <v>2</v>
      </c>
      <c r="E132" s="10">
        <v>2</v>
      </c>
      <c r="F132" s="10">
        <v>27139</v>
      </c>
      <c r="G132" s="10">
        <v>379414</v>
      </c>
      <c r="H132" s="10">
        <v>1166.5</v>
      </c>
      <c r="I132" s="10">
        <v>1150.0999999999999</v>
      </c>
      <c r="J132" s="10">
        <v>17.399999999999999</v>
      </c>
      <c r="K132" s="10">
        <v>37.799999999999997</v>
      </c>
      <c r="L132" s="19">
        <v>1005.5</v>
      </c>
      <c r="M132" s="10">
        <v>128.6</v>
      </c>
      <c r="N132" s="10">
        <v>104</v>
      </c>
      <c r="O132" s="10">
        <v>57</v>
      </c>
      <c r="P132" s="10">
        <v>1.2370000000000001</v>
      </c>
      <c r="Q132" s="10">
        <v>56.37</v>
      </c>
      <c r="R132" s="10">
        <v>47.45</v>
      </c>
      <c r="S132" s="10">
        <v>41.2</v>
      </c>
      <c r="T132" s="14">
        <v>12.12</v>
      </c>
    </row>
    <row r="133" spans="3:20" ht="14.3" customHeight="1" x14ac:dyDescent="0.25">
      <c r="C133" s="7">
        <v>46108.03888871528</v>
      </c>
      <c r="D133" s="10">
        <v>1</v>
      </c>
      <c r="E133" s="10">
        <v>0</v>
      </c>
      <c r="F133" s="10">
        <v>27219</v>
      </c>
      <c r="G133" s="10">
        <v>379545</v>
      </c>
      <c r="H133" s="10">
        <v>1159.2</v>
      </c>
      <c r="I133" s="10">
        <v>1147.5999999999999</v>
      </c>
      <c r="J133" s="10">
        <v>17.2</v>
      </c>
      <c r="K133" s="10">
        <v>35.200000000000003</v>
      </c>
      <c r="L133" s="19">
        <v>1005.2</v>
      </c>
      <c r="M133" s="10">
        <v>120.6</v>
      </c>
      <c r="N133" s="10">
        <v>98</v>
      </c>
      <c r="O133" s="10">
        <v>57</v>
      </c>
      <c r="P133" s="10">
        <v>1.23</v>
      </c>
      <c r="Q133" s="10">
        <v>80.02</v>
      </c>
      <c r="R133" s="10">
        <v>59.98</v>
      </c>
      <c r="S133" s="10">
        <v>54.41</v>
      </c>
      <c r="T133" s="14">
        <v>12.02</v>
      </c>
    </row>
    <row r="134" spans="3:20" ht="14.3" customHeight="1" x14ac:dyDescent="0.25">
      <c r="C134" s="7">
        <v>46108.080555439818</v>
      </c>
      <c r="D134" s="10">
        <v>2</v>
      </c>
      <c r="E134" s="10">
        <v>5</v>
      </c>
      <c r="F134" s="10">
        <v>27310</v>
      </c>
      <c r="G134" s="10">
        <v>379666</v>
      </c>
      <c r="H134" s="10">
        <v>1110.0999999999999</v>
      </c>
      <c r="I134" s="10">
        <v>1147.5999999999999</v>
      </c>
      <c r="J134" s="10">
        <v>16.899999999999999</v>
      </c>
      <c r="K134" s="10">
        <v>32.5</v>
      </c>
      <c r="L134" s="19">
        <v>1005.1</v>
      </c>
      <c r="M134" s="10">
        <v>104.3</v>
      </c>
      <c r="N134" s="10">
        <v>85</v>
      </c>
      <c r="O134" s="10">
        <v>57</v>
      </c>
      <c r="P134" s="10">
        <v>1.2270000000000001</v>
      </c>
      <c r="Q134" s="10">
        <v>296.01</v>
      </c>
      <c r="R134" s="10">
        <v>174.51</v>
      </c>
      <c r="S134">
        <v>170.41</v>
      </c>
      <c r="T134" s="14">
        <v>11.89</v>
      </c>
    </row>
    <row r="135" spans="3:20" ht="14.3" customHeight="1" x14ac:dyDescent="0.25">
      <c r="C135" s="7">
        <v>46108.12222222222</v>
      </c>
      <c r="D135" s="10">
        <v>0</v>
      </c>
      <c r="E135" s="10">
        <v>0</v>
      </c>
      <c r="F135" s="10">
        <v>27404</v>
      </c>
      <c r="G135" s="10">
        <v>379796</v>
      </c>
      <c r="H135" s="10">
        <v>1166.5</v>
      </c>
      <c r="I135" s="10">
        <v>1147.5999999999999</v>
      </c>
      <c r="J135" s="10">
        <v>16.3</v>
      </c>
      <c r="K135" s="10">
        <v>34.299999999999997</v>
      </c>
      <c r="L135" s="19">
        <v>1004.8</v>
      </c>
      <c r="M135" s="10">
        <v>124.8</v>
      </c>
      <c r="N135" s="10">
        <v>102</v>
      </c>
      <c r="O135" s="10">
        <v>57</v>
      </c>
      <c r="P135" s="10">
        <v>1.224</v>
      </c>
      <c r="Q135" s="10">
        <v>65.81</v>
      </c>
      <c r="R135" s="10">
        <v>52.45</v>
      </c>
      <c r="S135" s="10">
        <v>47.61</v>
      </c>
      <c r="T135" s="14">
        <v>11.76</v>
      </c>
    </row>
    <row r="136" spans="3:20" ht="14.3" customHeight="1" x14ac:dyDescent="0.25">
      <c r="C136" s="7">
        <v>46108.163888888892</v>
      </c>
      <c r="D136" s="10">
        <v>5</v>
      </c>
      <c r="E136" s="10">
        <v>2</v>
      </c>
      <c r="F136" s="10">
        <v>27505</v>
      </c>
      <c r="G136" s="10">
        <v>379929</v>
      </c>
      <c r="H136" s="10">
        <v>1171.5</v>
      </c>
      <c r="I136" s="10">
        <v>1145.2</v>
      </c>
      <c r="J136" s="10">
        <v>15.3</v>
      </c>
      <c r="K136" s="10">
        <v>37.4</v>
      </c>
      <c r="L136" s="19">
        <v>1004.9</v>
      </c>
      <c r="M136" s="10">
        <v>120.1</v>
      </c>
      <c r="N136" s="10">
        <v>95</v>
      </c>
      <c r="O136" s="10">
        <v>57</v>
      </c>
      <c r="P136" s="10">
        <v>1.2250000000000001</v>
      </c>
      <c r="Q136" s="10">
        <v>82.11</v>
      </c>
      <c r="R136" s="10">
        <v>61.08</v>
      </c>
      <c r="S136" s="10">
        <v>55.91</v>
      </c>
      <c r="T136" s="14">
        <v>11.6</v>
      </c>
    </row>
    <row r="137" spans="3:20" ht="14.3" customHeight="1" x14ac:dyDescent="0.25">
      <c r="C137" s="7">
        <v>46108.379166666666</v>
      </c>
      <c r="D137" s="10">
        <v>2</v>
      </c>
      <c r="E137" s="10">
        <v>1</v>
      </c>
      <c r="F137" s="10">
        <v>156</v>
      </c>
      <c r="G137" s="10">
        <v>208</v>
      </c>
      <c r="H137" s="10">
        <v>1176.4000000000001</v>
      </c>
      <c r="I137" s="10">
        <v>1159.8</v>
      </c>
      <c r="J137" s="10">
        <v>22.7</v>
      </c>
      <c r="K137" s="10">
        <v>26.4</v>
      </c>
      <c r="L137" s="19">
        <v>1007.5</v>
      </c>
      <c r="M137" s="10">
        <v>122.8</v>
      </c>
      <c r="N137" s="10">
        <v>98</v>
      </c>
      <c r="O137" s="10">
        <v>0</v>
      </c>
      <c r="P137" s="10">
        <v>1.2529999999999999</v>
      </c>
      <c r="Q137" s="10">
        <v>71.88</v>
      </c>
      <c r="R137" s="10">
        <v>55.66</v>
      </c>
      <c r="S137" s="10">
        <v>49.89</v>
      </c>
      <c r="T137" s="14">
        <v>12.61</v>
      </c>
    </row>
    <row r="138" spans="3:20" ht="14.3" customHeight="1" x14ac:dyDescent="0.25">
      <c r="C138" s="7">
        <v>46108.42083333333</v>
      </c>
      <c r="D138" s="10">
        <v>2</v>
      </c>
      <c r="E138" s="10">
        <v>2</v>
      </c>
      <c r="F138" s="10">
        <v>281</v>
      </c>
      <c r="G138" s="10">
        <v>318</v>
      </c>
      <c r="H138" s="10">
        <v>1107.5999999999999</v>
      </c>
      <c r="I138" s="10">
        <v>1164.7</v>
      </c>
      <c r="J138" s="10">
        <v>25.5</v>
      </c>
      <c r="K138" s="10">
        <v>24.9</v>
      </c>
      <c r="L138" s="19">
        <v>1007.8</v>
      </c>
      <c r="M138" s="10">
        <v>132.1</v>
      </c>
      <c r="N138" s="10">
        <v>105</v>
      </c>
      <c r="O138" s="10">
        <v>0</v>
      </c>
      <c r="P138" s="10">
        <v>1.258</v>
      </c>
      <c r="Q138" s="10">
        <v>49.54</v>
      </c>
      <c r="R138" s="10">
        <v>43.83</v>
      </c>
      <c r="S138" s="10">
        <v>37.25</v>
      </c>
      <c r="T138" s="14">
        <v>12.92</v>
      </c>
    </row>
    <row r="139" spans="3:20" ht="14.3" customHeight="1" x14ac:dyDescent="0.25">
      <c r="C139" s="7">
        <v>46108.462499942128</v>
      </c>
      <c r="D139" s="10">
        <v>0</v>
      </c>
      <c r="E139" s="10">
        <v>1</v>
      </c>
      <c r="F139" s="10">
        <v>390</v>
      </c>
      <c r="G139" s="10">
        <v>439</v>
      </c>
      <c r="H139" s="10">
        <v>1186.2</v>
      </c>
      <c r="I139" s="10">
        <v>1172.0999999999999</v>
      </c>
      <c r="J139" s="10">
        <v>27.8</v>
      </c>
      <c r="K139" s="10">
        <v>23.2</v>
      </c>
      <c r="L139" s="19">
        <v>1007.6</v>
      </c>
      <c r="M139" s="10">
        <v>127.3</v>
      </c>
      <c r="N139" s="10">
        <v>101</v>
      </c>
      <c r="O139" s="10">
        <v>0</v>
      </c>
      <c r="P139" s="10">
        <v>1.26</v>
      </c>
      <c r="Q139" s="10">
        <v>59.45</v>
      </c>
      <c r="R139" s="10">
        <v>49.08</v>
      </c>
      <c r="S139" s="10">
        <v>42.43</v>
      </c>
      <c r="T139" s="14">
        <v>13.15</v>
      </c>
    </row>
    <row r="140" spans="3:20" ht="14.3" customHeight="1" x14ac:dyDescent="0.25">
      <c r="C140" s="7">
        <v>46108.504166608793</v>
      </c>
      <c r="D140" s="10">
        <v>2</v>
      </c>
      <c r="E140" s="10">
        <v>3</v>
      </c>
      <c r="F140" s="10">
        <v>494</v>
      </c>
      <c r="G140" s="10">
        <v>582</v>
      </c>
      <c r="H140" s="10">
        <v>1122.3</v>
      </c>
      <c r="I140" s="10">
        <v>1179.4000000000001</v>
      </c>
      <c r="J140" s="10">
        <v>31.2</v>
      </c>
      <c r="K140" s="10">
        <v>19.600000000000001</v>
      </c>
      <c r="L140" s="19">
        <v>1007.2</v>
      </c>
      <c r="M140" s="10">
        <v>134.5</v>
      </c>
      <c r="N140" s="10">
        <v>107</v>
      </c>
      <c r="O140" s="10">
        <v>0</v>
      </c>
      <c r="P140" s="10">
        <v>1.2569999999999999</v>
      </c>
      <c r="Q140" s="10">
        <v>45.56</v>
      </c>
      <c r="R140" s="10">
        <v>41.72</v>
      </c>
      <c r="S140" s="10">
        <v>34.36</v>
      </c>
      <c r="T140" s="14">
        <v>13.74</v>
      </c>
    </row>
    <row r="141" spans="3:20" ht="14.3" customHeight="1" x14ac:dyDescent="0.25">
      <c r="C141" s="7">
        <v>46108.545833275464</v>
      </c>
      <c r="D141" s="10">
        <v>1</v>
      </c>
      <c r="E141" s="10">
        <v>2</v>
      </c>
      <c r="F141" s="10">
        <v>592</v>
      </c>
      <c r="G141" s="10">
        <v>703</v>
      </c>
      <c r="H141" s="10">
        <v>1134.5999999999999</v>
      </c>
      <c r="I141" s="10">
        <v>1184.3</v>
      </c>
      <c r="J141" s="10">
        <v>33.700000000000003</v>
      </c>
      <c r="K141" s="10">
        <v>17.7</v>
      </c>
      <c r="L141" s="19">
        <v>1006.8</v>
      </c>
      <c r="M141" s="10">
        <v>118.2</v>
      </c>
      <c r="N141" s="10">
        <v>94</v>
      </c>
      <c r="O141" s="10">
        <v>0</v>
      </c>
      <c r="P141" s="10">
        <v>1.258</v>
      </c>
      <c r="Q141" s="10">
        <v>90.4</v>
      </c>
      <c r="R141" s="10">
        <v>65.48</v>
      </c>
      <c r="S141" s="10">
        <v>56.36</v>
      </c>
      <c r="T141" s="14">
        <v>13.52</v>
      </c>
    </row>
    <row r="142" spans="3:20" ht="14.3" customHeight="1" x14ac:dyDescent="0.25">
      <c r="C142" s="7">
        <v>46108.587499942128</v>
      </c>
      <c r="D142" s="10">
        <v>0</v>
      </c>
      <c r="E142" s="10">
        <v>2</v>
      </c>
      <c r="F142" s="10">
        <v>695</v>
      </c>
      <c r="G142" s="10">
        <v>823</v>
      </c>
      <c r="H142" s="10">
        <v>1144.4000000000001</v>
      </c>
      <c r="I142" s="10">
        <v>1181.8</v>
      </c>
      <c r="J142" s="10">
        <v>29.9</v>
      </c>
      <c r="K142" s="10">
        <v>23</v>
      </c>
      <c r="L142" s="19">
        <v>1006.3</v>
      </c>
      <c r="M142" s="10">
        <v>121.5</v>
      </c>
      <c r="N142" s="10">
        <v>97</v>
      </c>
      <c r="O142" s="10">
        <v>0</v>
      </c>
      <c r="P142" s="10">
        <v>1.252</v>
      </c>
      <c r="Q142" s="10">
        <v>76.650000000000006</v>
      </c>
      <c r="R142" s="10">
        <v>58.19</v>
      </c>
      <c r="S142" s="10">
        <v>50.08</v>
      </c>
      <c r="T142" s="14">
        <v>13.41</v>
      </c>
    </row>
    <row r="143" spans="3:20" ht="14.3" customHeight="1" x14ac:dyDescent="0.25">
      <c r="C143" s="7">
        <v>46108.629166608793</v>
      </c>
      <c r="D143" s="10">
        <v>0</v>
      </c>
      <c r="E143" s="10">
        <v>1</v>
      </c>
      <c r="F143" s="10">
        <v>784</v>
      </c>
      <c r="G143" s="10">
        <v>942</v>
      </c>
      <c r="H143" s="10">
        <v>1196</v>
      </c>
      <c r="I143" s="10">
        <v>1181.8</v>
      </c>
      <c r="J143" s="10">
        <v>34.700000000000003</v>
      </c>
      <c r="K143" s="10">
        <v>17.399999999999999</v>
      </c>
      <c r="L143" s="19">
        <v>1005.7</v>
      </c>
      <c r="M143" s="10">
        <v>108.8</v>
      </c>
      <c r="N143" s="10">
        <v>87</v>
      </c>
      <c r="O143" s="10">
        <v>0</v>
      </c>
      <c r="P143" s="10">
        <v>1.25</v>
      </c>
      <c r="Q143" s="10">
        <v>175.58</v>
      </c>
      <c r="R143" s="10">
        <v>110.63</v>
      </c>
      <c r="S143" s="10">
        <v>87.94</v>
      </c>
      <c r="T143" s="14">
        <v>12.75</v>
      </c>
    </row>
    <row r="144" spans="3:20" ht="14.3" customHeight="1" x14ac:dyDescent="0.25">
      <c r="C144" s="7">
        <v>46108.670833275464</v>
      </c>
      <c r="D144" s="10">
        <v>1</v>
      </c>
      <c r="E144" s="10">
        <v>0</v>
      </c>
      <c r="F144" s="10">
        <v>914</v>
      </c>
      <c r="G144" s="10">
        <v>1080</v>
      </c>
      <c r="H144" s="10">
        <v>1191.0999999999999</v>
      </c>
      <c r="I144" s="10">
        <v>1179.4000000000001</v>
      </c>
      <c r="J144" s="10">
        <v>33</v>
      </c>
      <c r="K144" s="10">
        <v>18.899999999999999</v>
      </c>
      <c r="L144" s="19">
        <v>1005.4</v>
      </c>
      <c r="M144" s="10">
        <v>142.9</v>
      </c>
      <c r="N144" s="10">
        <v>115</v>
      </c>
      <c r="O144" s="10">
        <v>0</v>
      </c>
      <c r="P144" s="10">
        <v>1.2430000000000001</v>
      </c>
      <c r="Q144" s="10">
        <v>35.03</v>
      </c>
      <c r="R144" s="10">
        <v>36.14</v>
      </c>
      <c r="S144" s="10">
        <v>27.54</v>
      </c>
      <c r="T144" s="14">
        <v>12.72</v>
      </c>
    </row>
    <row r="145" spans="3:20" ht="14.3" customHeight="1" x14ac:dyDescent="0.25">
      <c r="C145" s="7">
        <v>46108.712499942128</v>
      </c>
      <c r="D145" s="10">
        <v>4</v>
      </c>
      <c r="E145" s="10">
        <v>2</v>
      </c>
      <c r="F145" s="10">
        <v>1022</v>
      </c>
      <c r="G145" s="10">
        <v>1205</v>
      </c>
      <c r="H145" s="10">
        <v>1191.0999999999999</v>
      </c>
      <c r="I145" s="10">
        <v>1172.0999999999999</v>
      </c>
      <c r="J145" s="10">
        <v>31.9</v>
      </c>
      <c r="K145" s="10">
        <v>26.6</v>
      </c>
      <c r="L145" s="19">
        <v>1005.5</v>
      </c>
      <c r="M145" s="10">
        <v>126.8</v>
      </c>
      <c r="N145" s="10">
        <v>101</v>
      </c>
      <c r="O145" s="10">
        <v>0</v>
      </c>
      <c r="P145" s="10">
        <v>1.2549999999999999</v>
      </c>
      <c r="Q145" s="10">
        <v>60.73</v>
      </c>
      <c r="R145" s="10">
        <v>49.75</v>
      </c>
      <c r="S145" s="10">
        <v>40.4</v>
      </c>
      <c r="T145" s="14">
        <v>12.69</v>
      </c>
    </row>
    <row r="146" spans="3:20" ht="14.3" customHeight="1" x14ac:dyDescent="0.25">
      <c r="C146" s="7">
        <v>46108.754166608793</v>
      </c>
      <c r="D146" s="10">
        <v>2</v>
      </c>
      <c r="E146" s="10">
        <v>1</v>
      </c>
      <c r="F146" s="10">
        <v>1128</v>
      </c>
      <c r="G146" s="10">
        <v>1322</v>
      </c>
      <c r="H146" s="10">
        <v>1134.5999999999999</v>
      </c>
      <c r="I146" s="10">
        <v>1159.8</v>
      </c>
      <c r="J146" s="10">
        <v>23.3</v>
      </c>
      <c r="K146" s="10">
        <v>41.1</v>
      </c>
      <c r="L146" s="19">
        <v>1005.9</v>
      </c>
      <c r="M146" s="10">
        <v>121</v>
      </c>
      <c r="N146" s="10">
        <v>96</v>
      </c>
      <c r="O146" s="10">
        <v>0</v>
      </c>
      <c r="P146" s="10">
        <v>1.2609999999999999</v>
      </c>
      <c r="Q146" s="10">
        <v>78.319999999999993</v>
      </c>
      <c r="R146" s="10">
        <v>59.07</v>
      </c>
      <c r="S146" s="10">
        <v>48.22</v>
      </c>
      <c r="T146" s="14">
        <v>12.57</v>
      </c>
    </row>
    <row r="147" spans="3:20" ht="14.3" customHeight="1" x14ac:dyDescent="0.25">
      <c r="C147" s="7">
        <v>46108.796527777777</v>
      </c>
      <c r="D147" s="10">
        <v>2</v>
      </c>
      <c r="E147" s="10">
        <v>5</v>
      </c>
      <c r="F147" s="10">
        <v>1236</v>
      </c>
      <c r="G147" s="10">
        <v>1431</v>
      </c>
      <c r="H147" s="10">
        <v>1169</v>
      </c>
      <c r="I147" s="10">
        <v>1155</v>
      </c>
      <c r="J147" s="10">
        <v>18.3</v>
      </c>
      <c r="K147" s="10">
        <v>50.1</v>
      </c>
      <c r="L147" s="19">
        <v>1006.3</v>
      </c>
      <c r="M147" s="10">
        <v>115.9</v>
      </c>
      <c r="N147" s="10">
        <v>92</v>
      </c>
      <c r="O147" s="10">
        <v>0</v>
      </c>
      <c r="P147" s="10">
        <v>1.2589999999999999</v>
      </c>
      <c r="Q147" s="10">
        <v>103.47</v>
      </c>
      <c r="R147" s="10">
        <v>72.400000000000006</v>
      </c>
      <c r="S147" s="10">
        <v>59.73</v>
      </c>
      <c r="T147" s="14">
        <v>12.48</v>
      </c>
    </row>
    <row r="148" spans="3:20" ht="14.3" customHeight="1" x14ac:dyDescent="0.25">
      <c r="C148" s="7">
        <v>46108.838194444441</v>
      </c>
      <c r="D148" s="10">
        <v>2</v>
      </c>
      <c r="E148" s="10">
        <v>1</v>
      </c>
      <c r="F148" s="10">
        <v>1342</v>
      </c>
      <c r="G148" s="10">
        <v>1542</v>
      </c>
      <c r="H148" s="10">
        <v>1137.0999999999999</v>
      </c>
      <c r="I148" s="10">
        <v>1150.0999999999999</v>
      </c>
      <c r="J148" s="10">
        <v>16.899999999999999</v>
      </c>
      <c r="K148" s="10">
        <v>50.2</v>
      </c>
      <c r="L148" s="19">
        <v>1006.7</v>
      </c>
      <c r="M148" s="10">
        <v>115.8</v>
      </c>
      <c r="N148" s="10">
        <v>92</v>
      </c>
      <c r="O148" s="10">
        <v>0</v>
      </c>
      <c r="P148" s="10">
        <v>1.2589999999999999</v>
      </c>
      <c r="Q148" s="10">
        <v>103.82</v>
      </c>
      <c r="R148" s="10">
        <v>72.59</v>
      </c>
      <c r="S148" s="10">
        <v>61.25</v>
      </c>
      <c r="T148" s="14">
        <v>12.38</v>
      </c>
    </row>
    <row r="149" spans="3:20" ht="14.3" customHeight="1" x14ac:dyDescent="0.25">
      <c r="C149" s="7">
        <v>46108.879861053239</v>
      </c>
      <c r="D149" s="10">
        <v>3</v>
      </c>
      <c r="E149" s="10">
        <v>2</v>
      </c>
      <c r="F149" s="10">
        <v>1446</v>
      </c>
      <c r="G149" s="10">
        <v>1642</v>
      </c>
      <c r="H149" s="10">
        <v>1161.5999999999999</v>
      </c>
      <c r="I149" s="10">
        <v>1145.2</v>
      </c>
      <c r="J149" s="10">
        <v>15.3</v>
      </c>
      <c r="K149" s="10">
        <v>54.7</v>
      </c>
      <c r="L149" s="19">
        <v>1007.4</v>
      </c>
      <c r="M149" s="10">
        <v>109.8</v>
      </c>
      <c r="N149" s="10">
        <v>87</v>
      </c>
      <c r="O149" s="10">
        <v>0</v>
      </c>
      <c r="P149" s="10">
        <v>1.262</v>
      </c>
      <c r="Q149" s="10">
        <v>159.33000000000001</v>
      </c>
      <c r="R149" s="10">
        <v>102.11</v>
      </c>
      <c r="S149" s="10">
        <v>83.15</v>
      </c>
      <c r="T149" s="14">
        <v>12.32</v>
      </c>
    </row>
    <row r="150" spans="3:20" ht="14.3" customHeight="1" x14ac:dyDescent="0.25">
      <c r="C150" s="7">
        <v>46108.921527719911</v>
      </c>
      <c r="D150" s="10">
        <v>2</v>
      </c>
      <c r="E150" s="10">
        <v>0</v>
      </c>
      <c r="F150" s="10">
        <v>1532</v>
      </c>
      <c r="G150" s="10">
        <v>1763</v>
      </c>
      <c r="H150" s="10">
        <v>1117.4000000000001</v>
      </c>
      <c r="I150" s="10">
        <v>1145.2</v>
      </c>
      <c r="J150" s="10">
        <v>15.9</v>
      </c>
      <c r="K150" s="10">
        <v>52</v>
      </c>
      <c r="L150" s="19">
        <v>1008</v>
      </c>
      <c r="M150" s="10">
        <v>115.6</v>
      </c>
      <c r="N150" s="10">
        <v>91</v>
      </c>
      <c r="O150" s="10">
        <v>0</v>
      </c>
      <c r="P150" s="10">
        <v>1.27</v>
      </c>
      <c r="Q150" s="10">
        <v>105.15</v>
      </c>
      <c r="R150" s="10">
        <v>73.290000000000006</v>
      </c>
      <c r="S150" s="10">
        <v>62.02</v>
      </c>
      <c r="T150" s="14">
        <v>12.23</v>
      </c>
    </row>
    <row r="151" spans="3:20" ht="14.3" customHeight="1" x14ac:dyDescent="0.25">
      <c r="C151" s="7">
        <v>46108.963194386575</v>
      </c>
      <c r="D151" s="10">
        <v>1</v>
      </c>
      <c r="E151" s="10">
        <v>1</v>
      </c>
      <c r="F151" s="10">
        <v>1636</v>
      </c>
      <c r="G151" s="10">
        <v>1874</v>
      </c>
      <c r="H151" s="10">
        <v>1161.5999999999999</v>
      </c>
      <c r="I151" s="10">
        <v>1142.8</v>
      </c>
      <c r="J151" s="10">
        <v>15.8</v>
      </c>
      <c r="K151" s="10">
        <v>51.1</v>
      </c>
      <c r="L151" s="19">
        <v>1008.2</v>
      </c>
      <c r="M151" s="10">
        <v>111.8</v>
      </c>
      <c r="N151" s="10">
        <v>88</v>
      </c>
      <c r="O151" s="10">
        <v>0</v>
      </c>
      <c r="P151" s="10">
        <v>1.2709999999999999</v>
      </c>
      <c r="Q151" s="10">
        <v>135.65</v>
      </c>
      <c r="R151" s="10">
        <v>89.46</v>
      </c>
      <c r="S151" s="10">
        <v>74.650000000000006</v>
      </c>
      <c r="T151" s="14">
        <v>12.09</v>
      </c>
    </row>
    <row r="152" spans="3:20" ht="14.3" customHeight="1" x14ac:dyDescent="0.25">
      <c r="C152" s="7">
        <v>46109.004861053239</v>
      </c>
      <c r="D152" s="10">
        <v>6</v>
      </c>
      <c r="E152" s="10">
        <v>0</v>
      </c>
      <c r="F152" s="10">
        <v>1733</v>
      </c>
      <c r="G152" s="10">
        <v>1997</v>
      </c>
      <c r="H152" s="10">
        <v>1161.5999999999999</v>
      </c>
      <c r="I152" s="10">
        <v>1142.8</v>
      </c>
      <c r="J152" s="10">
        <v>15.6</v>
      </c>
      <c r="K152" s="10">
        <v>51.7</v>
      </c>
      <c r="L152" s="19">
        <v>1008.3</v>
      </c>
      <c r="M152" s="10">
        <v>126.1</v>
      </c>
      <c r="N152" s="10">
        <v>99</v>
      </c>
      <c r="O152" s="10">
        <v>0</v>
      </c>
      <c r="P152" s="10">
        <v>1.274</v>
      </c>
      <c r="Q152" s="10">
        <v>62.38</v>
      </c>
      <c r="R152" s="10">
        <v>50.63</v>
      </c>
      <c r="S152" s="10">
        <v>42.91</v>
      </c>
      <c r="T152" s="14">
        <v>11.99</v>
      </c>
    </row>
    <row r="153" spans="3:20" ht="14.3" customHeight="1" x14ac:dyDescent="0.25">
      <c r="C153" s="7">
        <v>46109.045833217591</v>
      </c>
      <c r="D153" s="10">
        <v>2</v>
      </c>
      <c r="E153" s="10">
        <v>2</v>
      </c>
      <c r="F153" s="10">
        <v>1839</v>
      </c>
      <c r="G153" s="10">
        <v>2102</v>
      </c>
      <c r="H153" s="10">
        <v>1132.2</v>
      </c>
      <c r="I153" s="10">
        <v>1142.8</v>
      </c>
      <c r="J153" s="10">
        <v>14.8</v>
      </c>
      <c r="K153" s="10">
        <v>52.2</v>
      </c>
      <c r="L153" s="19">
        <v>1008.7</v>
      </c>
      <c r="M153" s="10">
        <v>119.8</v>
      </c>
      <c r="N153" s="10">
        <v>94</v>
      </c>
      <c r="O153" s="10">
        <v>0</v>
      </c>
      <c r="P153" s="10">
        <v>1.274</v>
      </c>
      <c r="Q153" s="10">
        <v>83.35</v>
      </c>
      <c r="R153" s="10">
        <v>61.74</v>
      </c>
      <c r="S153" s="10">
        <v>53.44</v>
      </c>
      <c r="T153" s="14">
        <v>11.85</v>
      </c>
    </row>
    <row r="154" spans="3:20" ht="14.3" customHeight="1" x14ac:dyDescent="0.25">
      <c r="C154" s="7">
        <v>46109.087499884263</v>
      </c>
      <c r="D154" s="10">
        <v>2</v>
      </c>
      <c r="E154" s="10">
        <v>2</v>
      </c>
      <c r="F154" s="10">
        <v>1948</v>
      </c>
      <c r="G154" s="10">
        <v>2235</v>
      </c>
      <c r="H154" s="10">
        <v>1156.7</v>
      </c>
      <c r="I154" s="10">
        <v>1137.9000000000001</v>
      </c>
      <c r="J154" s="10">
        <v>13.3</v>
      </c>
      <c r="K154" s="10">
        <v>56.2</v>
      </c>
      <c r="L154" s="19">
        <v>1008.6</v>
      </c>
      <c r="M154" s="10">
        <v>133.6</v>
      </c>
      <c r="N154" s="10">
        <v>105</v>
      </c>
      <c r="O154" s="10">
        <v>0</v>
      </c>
      <c r="P154" s="10">
        <v>1.272</v>
      </c>
      <c r="Q154" s="10">
        <v>47.07</v>
      </c>
      <c r="R154" s="10">
        <v>45.52</v>
      </c>
      <c r="S154" s="10">
        <v>35.06</v>
      </c>
      <c r="T154" s="14">
        <v>11.68</v>
      </c>
    </row>
    <row r="155" spans="3:20" ht="14.3" customHeight="1" x14ac:dyDescent="0.25"/>
    <row r="156" spans="3:20" ht="14.3" customHeight="1" x14ac:dyDescent="0.25"/>
    <row r="157" spans="3:20" ht="14.3" customHeight="1" x14ac:dyDescent="0.25"/>
    <row r="158" spans="3:20" ht="14.3" customHeight="1" x14ac:dyDescent="0.25"/>
    <row r="159" spans="3:20" ht="14.3" customHeight="1" x14ac:dyDescent="0.25"/>
    <row r="160" spans="3:20" ht="14.3" customHeight="1" x14ac:dyDescent="0.25">
      <c r="I160" s="1"/>
    </row>
    <row r="161" spans="9:9" ht="14.3" customHeight="1" x14ac:dyDescent="0.25">
      <c r="I161" s="1"/>
    </row>
    <row r="162" spans="9:9" ht="14.3" customHeight="1" x14ac:dyDescent="0.25">
      <c r="I162" s="1"/>
    </row>
    <row r="163" spans="9:9" ht="14.3" customHeight="1" x14ac:dyDescent="0.25">
      <c r="I163" s="1"/>
    </row>
    <row r="164" spans="9:9" ht="14.3" customHeight="1" x14ac:dyDescent="0.25"/>
    <row r="165" spans="9:9" ht="14.3" customHeight="1" x14ac:dyDescent="0.25"/>
    <row r="166" spans="9:9" ht="14.3" customHeight="1" x14ac:dyDescent="0.25"/>
    <row r="167" spans="9:9" ht="14.3" customHeight="1" x14ac:dyDescent="0.25"/>
    <row r="168" spans="9:9" ht="14.3" customHeight="1" x14ac:dyDescent="0.25"/>
    <row r="169" spans="9:9" ht="14.3" customHeight="1" x14ac:dyDescent="0.25"/>
    <row r="170" spans="9:9" ht="14.3" customHeight="1" x14ac:dyDescent="0.25"/>
    <row r="171" spans="9:9" ht="14.3" customHeight="1" x14ac:dyDescent="0.25"/>
    <row r="172" spans="9:9" ht="14.3" customHeight="1" x14ac:dyDescent="0.25"/>
    <row r="173" spans="9:9" ht="14.3" customHeight="1" x14ac:dyDescent="0.25"/>
    <row r="174" spans="9:9" ht="14.3" customHeight="1" x14ac:dyDescent="0.25"/>
    <row r="175" spans="9:9" ht="14.3" customHeight="1" x14ac:dyDescent="0.25"/>
    <row r="176" spans="9:9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1CB6-E8ED-4D51-9F90-2034C537955F}">
  <dimension ref="A1:F154"/>
  <sheetViews>
    <sheetView workbookViewId="0">
      <pane ySplit="1" topLeftCell="A5" activePane="bottomLeft" state="frozen"/>
      <selection pane="bottomLeft" sqref="A1:A1048576"/>
    </sheetView>
  </sheetViews>
  <sheetFormatPr defaultRowHeight="14.3" x14ac:dyDescent="0.25"/>
  <cols>
    <col min="1" max="1" width="19.875" style="6" bestFit="1" customWidth="1"/>
    <col min="2" max="3" width="8.625" customWidth="1"/>
    <col min="4" max="4" width="8.625" style="19" customWidth="1"/>
  </cols>
  <sheetData>
    <row r="1" spans="1:6" x14ac:dyDescent="0.25">
      <c r="A1" s="8" t="s">
        <v>17</v>
      </c>
      <c r="B1" s="1" t="s">
        <v>6</v>
      </c>
      <c r="C1" s="1" t="s">
        <v>7</v>
      </c>
      <c r="D1" s="1" t="s">
        <v>8</v>
      </c>
      <c r="E1" t="s">
        <v>27</v>
      </c>
      <c r="F1" t="s">
        <v>28</v>
      </c>
    </row>
    <row r="2" spans="1:6" x14ac:dyDescent="0.25">
      <c r="A2" s="7">
        <v>46102.577777777777</v>
      </c>
      <c r="B2" s="1">
        <v>30.1</v>
      </c>
      <c r="C2" s="1">
        <v>38.799999999999997</v>
      </c>
      <c r="D2" s="16">
        <v>998.4</v>
      </c>
      <c r="E2">
        <f>6.122*EXP((17.67*B2)/(B2+243.5))</f>
        <v>42.770438463938085</v>
      </c>
      <c r="F2">
        <f>E2*C2*2.1674/(273.15+B2)</f>
        <v>11.860791937600952</v>
      </c>
    </row>
    <row r="3" spans="1:6" x14ac:dyDescent="0.25">
      <c r="A3" s="7">
        <v>46102.619444444441</v>
      </c>
      <c r="B3" s="1">
        <v>36.200000000000003</v>
      </c>
      <c r="C3" s="1">
        <v>39.4</v>
      </c>
      <c r="D3" s="16">
        <v>998.1</v>
      </c>
      <c r="E3">
        <f t="shared" ref="E3:E66" si="0">6.122*EXP((17.67*B3)/(B3+243.5))</f>
        <v>60.268989001533306</v>
      </c>
      <c r="F3">
        <f t="shared" ref="F3:F66" si="1">E3*C3*2.1674/(273.15+B3)</f>
        <v>16.637155540390424</v>
      </c>
    </row>
    <row r="4" spans="1:6" x14ac:dyDescent="0.25">
      <c r="A4" s="7">
        <v>46102.661111053239</v>
      </c>
      <c r="B4" s="1">
        <v>35.1</v>
      </c>
      <c r="C4" s="1">
        <v>43</v>
      </c>
      <c r="D4" s="16">
        <v>998.1</v>
      </c>
      <c r="E4">
        <f t="shared" si="0"/>
        <v>56.717370008363609</v>
      </c>
      <c r="F4">
        <f t="shared" si="1"/>
        <v>17.148278324455713</v>
      </c>
    </row>
    <row r="5" spans="1:6" x14ac:dyDescent="0.25">
      <c r="A5" s="7">
        <v>46102.702777719911</v>
      </c>
      <c r="B5" s="1">
        <v>37.1</v>
      </c>
      <c r="C5" s="1">
        <v>41.2</v>
      </c>
      <c r="D5" s="16">
        <v>998</v>
      </c>
      <c r="E5">
        <f t="shared" si="0"/>
        <v>63.317233952669255</v>
      </c>
      <c r="F5">
        <f t="shared" si="1"/>
        <v>18.22411423756143</v>
      </c>
    </row>
    <row r="6" spans="1:6" x14ac:dyDescent="0.25">
      <c r="A6" s="7">
        <v>46102.744444386575</v>
      </c>
      <c r="B6" s="1">
        <v>28.2</v>
      </c>
      <c r="C6" s="1">
        <v>50.4</v>
      </c>
      <c r="D6" s="16">
        <v>998.2</v>
      </c>
      <c r="E6">
        <f t="shared" si="0"/>
        <v>38.316279362537216</v>
      </c>
      <c r="F6">
        <f t="shared" si="1"/>
        <v>13.889344204660045</v>
      </c>
    </row>
    <row r="7" spans="1:6" x14ac:dyDescent="0.25">
      <c r="A7" s="7">
        <v>46102.786111053239</v>
      </c>
      <c r="B7" s="1">
        <v>23.1</v>
      </c>
      <c r="C7" s="1">
        <v>52.2</v>
      </c>
      <c r="D7" s="16">
        <v>998.7</v>
      </c>
      <c r="E7">
        <f t="shared" si="0"/>
        <v>28.302081470847337</v>
      </c>
      <c r="F7">
        <f t="shared" si="1"/>
        <v>10.808603605169749</v>
      </c>
    </row>
    <row r="8" spans="1:6" x14ac:dyDescent="0.25">
      <c r="A8" s="7">
        <v>46102.828472222223</v>
      </c>
      <c r="B8" s="1">
        <v>20</v>
      </c>
      <c r="C8" s="1">
        <v>55.6</v>
      </c>
      <c r="D8" s="16">
        <v>993.3</v>
      </c>
      <c r="E8">
        <f t="shared" si="0"/>
        <v>23.407706625481421</v>
      </c>
      <c r="F8">
        <f t="shared" si="1"/>
        <v>9.6223871796275127</v>
      </c>
    </row>
    <row r="9" spans="1:6" x14ac:dyDescent="0.25">
      <c r="A9" s="7">
        <v>46102.870138888888</v>
      </c>
      <c r="B9" s="1">
        <v>18.7</v>
      </c>
      <c r="C9" s="1">
        <v>55.8</v>
      </c>
      <c r="D9" s="16">
        <v>997.7</v>
      </c>
      <c r="E9">
        <f t="shared" si="0"/>
        <v>21.587322731836466</v>
      </c>
      <c r="F9">
        <f t="shared" si="1"/>
        <v>8.9456593165160712</v>
      </c>
    </row>
    <row r="10" spans="1:6" x14ac:dyDescent="0.25">
      <c r="A10" s="7">
        <v>46102.911805439813</v>
      </c>
      <c r="B10" s="1">
        <v>17.7</v>
      </c>
      <c r="C10" s="1">
        <v>56.2</v>
      </c>
      <c r="D10" s="16">
        <v>1000.1</v>
      </c>
      <c r="E10">
        <f t="shared" si="0"/>
        <v>20.272831562223669</v>
      </c>
      <c r="F10">
        <f t="shared" si="1"/>
        <v>8.4902548880576028</v>
      </c>
    </row>
    <row r="11" spans="1:6" x14ac:dyDescent="0.25">
      <c r="A11" s="7">
        <v>46102.953472048612</v>
      </c>
      <c r="B11" s="1">
        <v>17.100000000000001</v>
      </c>
      <c r="C11" s="1">
        <v>57.1</v>
      </c>
      <c r="D11" s="16">
        <v>1000.3</v>
      </c>
      <c r="E11">
        <f t="shared" si="0"/>
        <v>19.51835794986922</v>
      </c>
      <c r="F11">
        <f t="shared" si="1"/>
        <v>8.3223548081764278</v>
      </c>
    </row>
    <row r="12" spans="1:6" x14ac:dyDescent="0.25">
      <c r="A12" s="7">
        <v>46102.99513865741</v>
      </c>
      <c r="B12" s="1">
        <v>16.7</v>
      </c>
      <c r="C12" s="1">
        <v>57.3</v>
      </c>
      <c r="D12" s="16">
        <v>100.2</v>
      </c>
      <c r="E12">
        <f t="shared" si="0"/>
        <v>19.029190827360488</v>
      </c>
      <c r="F12">
        <f t="shared" si="1"/>
        <v>8.153436770106504</v>
      </c>
    </row>
    <row r="13" spans="1:6" x14ac:dyDescent="0.25">
      <c r="A13" s="7">
        <v>46103.036805266202</v>
      </c>
      <c r="B13" s="1">
        <v>16.399999999999999</v>
      </c>
      <c r="C13" s="1">
        <v>57.6</v>
      </c>
      <c r="D13" s="16">
        <v>100.2</v>
      </c>
      <c r="E13">
        <f t="shared" si="0"/>
        <v>18.669420476376096</v>
      </c>
      <c r="F13">
        <f t="shared" si="1"/>
        <v>8.0494984347182186</v>
      </c>
    </row>
    <row r="14" spans="1:6" x14ac:dyDescent="0.25">
      <c r="A14" s="7">
        <v>46103.078471875</v>
      </c>
      <c r="B14" s="1">
        <v>17.2</v>
      </c>
      <c r="C14" s="1">
        <v>56.6</v>
      </c>
      <c r="D14" s="16">
        <v>1000.1</v>
      </c>
      <c r="E14">
        <f t="shared" si="0"/>
        <v>19.642362980404268</v>
      </c>
      <c r="F14">
        <f t="shared" si="1"/>
        <v>8.2990312927260792</v>
      </c>
    </row>
    <row r="15" spans="1:6" x14ac:dyDescent="0.25">
      <c r="A15" s="7">
        <v>46103.120138483799</v>
      </c>
      <c r="B15" s="1">
        <v>17.399999999999999</v>
      </c>
      <c r="C15" s="1">
        <v>56.3</v>
      </c>
      <c r="D15" s="16">
        <v>1000</v>
      </c>
      <c r="E15">
        <f t="shared" si="0"/>
        <v>19.892451825271188</v>
      </c>
      <c r="F15">
        <f t="shared" si="1"/>
        <v>8.3543929610980001</v>
      </c>
    </row>
    <row r="16" spans="1:6" x14ac:dyDescent="0.25">
      <c r="A16" s="7">
        <v>46103.16180509259</v>
      </c>
      <c r="B16" s="1">
        <v>16.600000000000001</v>
      </c>
      <c r="C16" s="1">
        <v>58.2</v>
      </c>
      <c r="D16" s="16">
        <v>999.9</v>
      </c>
      <c r="E16">
        <f t="shared" si="0"/>
        <v>18.908596076407193</v>
      </c>
      <c r="F16">
        <f t="shared" si="1"/>
        <v>8.2318584438843416</v>
      </c>
    </row>
    <row r="17" spans="1:6" x14ac:dyDescent="0.25">
      <c r="A17" s="7">
        <v>46103.203471701388</v>
      </c>
      <c r="B17" s="1">
        <v>16.2</v>
      </c>
      <c r="C17" s="1">
        <v>58.7</v>
      </c>
      <c r="D17" s="16">
        <v>1000.1</v>
      </c>
      <c r="E17">
        <f t="shared" si="0"/>
        <v>18.432908804160121</v>
      </c>
      <c r="F17">
        <f t="shared" si="1"/>
        <v>8.1048980819886705</v>
      </c>
    </row>
    <row r="18" spans="1:6" x14ac:dyDescent="0.25">
      <c r="A18" s="7">
        <v>46103.245138310187</v>
      </c>
      <c r="B18" s="1">
        <v>15.69</v>
      </c>
      <c r="C18" s="1">
        <v>59.2</v>
      </c>
      <c r="D18" s="16">
        <v>1000.2</v>
      </c>
      <c r="E18">
        <f t="shared" si="0"/>
        <v>17.841688093154261</v>
      </c>
      <c r="F18">
        <f t="shared" si="1"/>
        <v>7.9257319850701808</v>
      </c>
    </row>
    <row r="19" spans="1:6" x14ac:dyDescent="0.25">
      <c r="A19" s="7">
        <v>46103.286804918978</v>
      </c>
      <c r="B19" s="1">
        <v>14.9</v>
      </c>
      <c r="C19" s="1">
        <v>59.9</v>
      </c>
      <c r="D19" s="16">
        <v>1000.5</v>
      </c>
      <c r="E19">
        <f t="shared" si="0"/>
        <v>16.958783485582998</v>
      </c>
      <c r="F19">
        <f t="shared" si="1"/>
        <v>7.6435076995885813</v>
      </c>
    </row>
    <row r="20" spans="1:6" x14ac:dyDescent="0.25">
      <c r="A20" s="7">
        <v>46103.328471527777</v>
      </c>
      <c r="B20" s="1">
        <v>17.5</v>
      </c>
      <c r="C20" s="1">
        <v>57.2</v>
      </c>
      <c r="D20" s="16">
        <v>1001</v>
      </c>
      <c r="E20">
        <f t="shared" si="0"/>
        <v>20.018542228282037</v>
      </c>
      <c r="F20">
        <f t="shared" si="1"/>
        <v>8.5388074245418544</v>
      </c>
    </row>
    <row r="21" spans="1:6" x14ac:dyDescent="0.25">
      <c r="A21" s="7">
        <v>46103.370138136575</v>
      </c>
      <c r="B21" s="1">
        <v>20.6</v>
      </c>
      <c r="C21" s="1">
        <v>55.5</v>
      </c>
      <c r="D21" s="16">
        <v>1001.4</v>
      </c>
      <c r="E21">
        <f t="shared" si="0"/>
        <v>24.292367875558647</v>
      </c>
      <c r="F21">
        <f t="shared" si="1"/>
        <v>9.9477308473479571</v>
      </c>
    </row>
    <row r="22" spans="1:6" x14ac:dyDescent="0.25">
      <c r="A22" s="7">
        <v>46103.411804745374</v>
      </c>
      <c r="B22" s="1">
        <v>25.1</v>
      </c>
      <c r="C22" s="1">
        <v>52.2</v>
      </c>
      <c r="D22" s="16">
        <v>1001.6</v>
      </c>
      <c r="E22">
        <f t="shared" si="0"/>
        <v>31.915962107927616</v>
      </c>
      <c r="F22">
        <f t="shared" si="1"/>
        <v>12.107014442367495</v>
      </c>
    </row>
    <row r="23" spans="1:6" x14ac:dyDescent="0.25">
      <c r="A23" s="7">
        <v>46103.453471354165</v>
      </c>
      <c r="B23" s="1">
        <v>27.9</v>
      </c>
      <c r="C23" s="1">
        <v>50.3</v>
      </c>
      <c r="D23" s="16">
        <v>1001.6</v>
      </c>
      <c r="E23">
        <f t="shared" si="0"/>
        <v>37.651396646087349</v>
      </c>
      <c r="F23">
        <f t="shared" si="1"/>
        <v>13.634823270764677</v>
      </c>
    </row>
    <row r="24" spans="1:6" x14ac:dyDescent="0.25">
      <c r="A24" s="20">
        <v>46103.495137962964</v>
      </c>
      <c r="B24" s="1">
        <v>32.9</v>
      </c>
      <c r="C24" s="1">
        <v>45.8</v>
      </c>
      <c r="D24" s="16">
        <v>1001.3</v>
      </c>
      <c r="E24">
        <f t="shared" si="0"/>
        <v>50.156887595336535</v>
      </c>
      <c r="F24">
        <f t="shared" si="1"/>
        <v>16.268321347411419</v>
      </c>
    </row>
    <row r="25" spans="1:6" x14ac:dyDescent="0.25">
      <c r="A25" s="20">
        <v>46103.536804571762</v>
      </c>
      <c r="B25" s="1">
        <v>38.1</v>
      </c>
      <c r="C25" s="1">
        <v>41.4</v>
      </c>
      <c r="D25" s="16">
        <v>1001.4</v>
      </c>
      <c r="E25">
        <f t="shared" si="0"/>
        <v>66.860591059259491</v>
      </c>
      <c r="F25">
        <f t="shared" si="1"/>
        <v>19.275260740755456</v>
      </c>
    </row>
    <row r="26" spans="1:6" x14ac:dyDescent="0.25">
      <c r="A26" s="20">
        <v>46103.578471180554</v>
      </c>
      <c r="B26" s="1">
        <v>41</v>
      </c>
      <c r="C26" s="1">
        <v>39.299999999999997</v>
      </c>
      <c r="D26" s="16">
        <v>1000.9</v>
      </c>
      <c r="E26">
        <f t="shared" si="0"/>
        <v>78.128610965137781</v>
      </c>
      <c r="F26">
        <f t="shared" si="1"/>
        <v>21.183838581090235</v>
      </c>
    </row>
    <row r="27" spans="1:6" x14ac:dyDescent="0.25">
      <c r="A27" s="20">
        <v>46103.620137789352</v>
      </c>
      <c r="B27" s="1">
        <v>38.799999999999997</v>
      </c>
      <c r="C27" s="1">
        <v>42.5</v>
      </c>
      <c r="D27" s="16">
        <v>1000.3</v>
      </c>
      <c r="E27">
        <f t="shared" si="0"/>
        <v>69.442335594349558</v>
      </c>
      <c r="F27">
        <f t="shared" si="1"/>
        <v>20.505356698527688</v>
      </c>
    </row>
    <row r="28" spans="1:6" x14ac:dyDescent="0.25">
      <c r="A28" s="20">
        <v>46103.661804398151</v>
      </c>
      <c r="B28" s="1">
        <v>40.1</v>
      </c>
      <c r="C28" s="1">
        <v>41.5</v>
      </c>
      <c r="D28" s="16">
        <v>1000.1</v>
      </c>
      <c r="E28">
        <f t="shared" si="0"/>
        <v>74.46744441911882</v>
      </c>
      <c r="F28">
        <f t="shared" si="1"/>
        <v>21.382699664520107</v>
      </c>
    </row>
    <row r="29" spans="1:6" x14ac:dyDescent="0.25">
      <c r="A29" s="7">
        <v>46103.703471006942</v>
      </c>
      <c r="B29" s="1">
        <v>37.299999999999997</v>
      </c>
      <c r="C29" s="1">
        <v>45.5</v>
      </c>
      <c r="D29" s="16">
        <v>1000.2</v>
      </c>
      <c r="E29">
        <f t="shared" si="0"/>
        <v>64.012540627128587</v>
      </c>
      <c r="F29">
        <f t="shared" si="1"/>
        <v>20.334049010350629</v>
      </c>
    </row>
    <row r="30" spans="1:6" x14ac:dyDescent="0.25">
      <c r="A30" s="7">
        <v>46103.745137615741</v>
      </c>
      <c r="B30" s="1">
        <v>29</v>
      </c>
      <c r="C30" s="1">
        <v>52.7</v>
      </c>
      <c r="D30" s="16">
        <v>1000.4</v>
      </c>
      <c r="E30">
        <f t="shared" si="0"/>
        <v>40.13970141471156</v>
      </c>
      <c r="F30">
        <f t="shared" si="1"/>
        <v>15.174039954317909</v>
      </c>
    </row>
    <row r="31" spans="1:6" x14ac:dyDescent="0.25">
      <c r="A31" s="7">
        <v>46103.786804224539</v>
      </c>
      <c r="B31" s="1">
        <v>24.9</v>
      </c>
      <c r="C31" s="1">
        <v>54.7</v>
      </c>
      <c r="D31" s="16">
        <v>1000.9</v>
      </c>
      <c r="E31">
        <f t="shared" si="0"/>
        <v>31.537261910121984</v>
      </c>
      <c r="F31">
        <f t="shared" si="1"/>
        <v>12.5447281398447</v>
      </c>
    </row>
    <row r="32" spans="1:6" x14ac:dyDescent="0.25">
      <c r="A32" s="7">
        <v>46103.82916666667</v>
      </c>
      <c r="B32" s="1">
        <v>23.2</v>
      </c>
      <c r="C32" s="1">
        <v>54</v>
      </c>
      <c r="D32" s="16">
        <v>1001.1</v>
      </c>
      <c r="E32">
        <f t="shared" si="0"/>
        <v>28.473866545488573</v>
      </c>
      <c r="F32">
        <f t="shared" si="1"/>
        <v>11.245385358317412</v>
      </c>
    </row>
    <row r="33" spans="1:6" x14ac:dyDescent="0.25">
      <c r="A33" s="7">
        <v>46103.870833333334</v>
      </c>
      <c r="B33" s="1">
        <v>19.8</v>
      </c>
      <c r="C33" s="1">
        <v>57.3</v>
      </c>
      <c r="D33" s="16">
        <v>1001.8</v>
      </c>
      <c r="E33">
        <f t="shared" si="0"/>
        <v>23.119169062649799</v>
      </c>
      <c r="F33">
        <f t="shared" si="1"/>
        <v>9.8010455934868936</v>
      </c>
    </row>
    <row r="34" spans="1:6" x14ac:dyDescent="0.25">
      <c r="A34" s="7">
        <v>46103.912499999999</v>
      </c>
      <c r="B34" s="1">
        <v>17.8</v>
      </c>
      <c r="C34" s="1">
        <v>58.1</v>
      </c>
      <c r="D34" s="16">
        <v>1002.2</v>
      </c>
      <c r="E34">
        <f t="shared" si="0"/>
        <v>20.401037158036587</v>
      </c>
      <c r="F34">
        <f t="shared" si="1"/>
        <v>8.8297638119975463</v>
      </c>
    </row>
    <row r="35" spans="1:6" x14ac:dyDescent="0.25">
      <c r="A35" s="7">
        <v>46103.95416666667</v>
      </c>
      <c r="B35" s="1">
        <v>16.600000000000001</v>
      </c>
      <c r="C35" s="1">
        <v>58.5</v>
      </c>
      <c r="D35" s="16">
        <v>1002.4</v>
      </c>
      <c r="E35">
        <f t="shared" si="0"/>
        <v>18.908596076407193</v>
      </c>
      <c r="F35">
        <f t="shared" si="1"/>
        <v>8.2742907039043647</v>
      </c>
    </row>
    <row r="36" spans="1:6" x14ac:dyDescent="0.25">
      <c r="A36" s="7">
        <v>46103.995833333334</v>
      </c>
      <c r="B36" s="1">
        <v>15.6</v>
      </c>
      <c r="C36" s="1">
        <v>59</v>
      </c>
      <c r="D36" s="16">
        <v>1002.6</v>
      </c>
      <c r="E36">
        <f t="shared" si="0"/>
        <v>17.739104763293774</v>
      </c>
      <c r="F36">
        <f t="shared" si="1"/>
        <v>7.8559875469222948</v>
      </c>
    </row>
    <row r="37" spans="1:6" x14ac:dyDescent="0.25">
      <c r="A37" s="7">
        <v>46104.036805555559</v>
      </c>
      <c r="B37" s="1">
        <v>15.1</v>
      </c>
      <c r="C37" s="1">
        <v>59.4</v>
      </c>
      <c r="D37" s="16">
        <v>1002.4</v>
      </c>
      <c r="E37">
        <f t="shared" si="0"/>
        <v>17.178588995181805</v>
      </c>
      <c r="F37">
        <f t="shared" si="1"/>
        <v>7.6726199584268118</v>
      </c>
    </row>
    <row r="38" spans="1:6" x14ac:dyDescent="0.25">
      <c r="A38" s="7">
        <v>46104.078472222223</v>
      </c>
      <c r="B38" s="1">
        <v>14.7</v>
      </c>
      <c r="C38" s="1">
        <v>59.3</v>
      </c>
      <c r="D38" s="16">
        <v>1002.5</v>
      </c>
      <c r="E38">
        <f t="shared" si="0"/>
        <v>16.741456457895211</v>
      </c>
      <c r="F38">
        <f t="shared" si="1"/>
        <v>7.4751647062766562</v>
      </c>
    </row>
    <row r="39" spans="1:6" x14ac:dyDescent="0.25">
      <c r="A39" s="7">
        <v>46104.120138888888</v>
      </c>
      <c r="B39" s="1">
        <v>14.5</v>
      </c>
      <c r="C39" s="1">
        <v>58.9</v>
      </c>
      <c r="D39" s="16">
        <v>1002.2</v>
      </c>
      <c r="E39">
        <f t="shared" si="0"/>
        <v>16.526583999381504</v>
      </c>
      <c r="F39">
        <f t="shared" si="1"/>
        <v>7.3345433674231986</v>
      </c>
    </row>
    <row r="40" spans="1:6" x14ac:dyDescent="0.25">
      <c r="A40" s="7">
        <v>46104.161805555559</v>
      </c>
      <c r="B40" s="1">
        <v>14.2</v>
      </c>
      <c r="C40" s="1">
        <v>59.1</v>
      </c>
      <c r="D40" s="16">
        <v>1002</v>
      </c>
      <c r="E40">
        <f t="shared" si="0"/>
        <v>16.208825781870715</v>
      </c>
      <c r="F40">
        <f t="shared" si="1"/>
        <v>7.2254833195682338</v>
      </c>
    </row>
    <row r="41" spans="1:6" x14ac:dyDescent="0.25">
      <c r="A41" s="7">
        <v>46104.203472222223</v>
      </c>
      <c r="B41" s="1">
        <v>13.9</v>
      </c>
      <c r="C41" s="1">
        <v>58.9</v>
      </c>
      <c r="D41" s="16">
        <v>1002.2</v>
      </c>
      <c r="E41">
        <f t="shared" si="0"/>
        <v>15.896457723662516</v>
      </c>
      <c r="F41">
        <f t="shared" si="1"/>
        <v>7.0696379289276292</v>
      </c>
    </row>
    <row r="42" spans="1:6" x14ac:dyDescent="0.25">
      <c r="A42" s="7">
        <v>46104.245138888888</v>
      </c>
      <c r="B42" s="1">
        <v>13.7</v>
      </c>
      <c r="C42" s="1">
        <v>58.8</v>
      </c>
      <c r="D42" s="16">
        <v>1002.6</v>
      </c>
      <c r="E42">
        <f t="shared" si="0"/>
        <v>15.691168156405597</v>
      </c>
      <c r="F42">
        <f t="shared" si="1"/>
        <v>6.9713488802404662</v>
      </c>
    </row>
    <row r="43" spans="1:6" x14ac:dyDescent="0.25">
      <c r="A43" s="7">
        <v>46104.286805555559</v>
      </c>
      <c r="B43" s="1">
        <v>14.4</v>
      </c>
      <c r="C43" s="1">
        <v>58.4</v>
      </c>
      <c r="D43" s="16">
        <v>1002.6</v>
      </c>
      <c r="E43">
        <f t="shared" si="0"/>
        <v>16.420060812246433</v>
      </c>
      <c r="F43">
        <f t="shared" si="1"/>
        <v>7.2279194734155263</v>
      </c>
    </row>
    <row r="44" spans="1:6" x14ac:dyDescent="0.25">
      <c r="A44" s="7">
        <v>46104.328472222223</v>
      </c>
      <c r="B44" s="3">
        <v>18.7</v>
      </c>
      <c r="C44" s="3">
        <v>57.4</v>
      </c>
      <c r="D44" s="17">
        <v>1002.9</v>
      </c>
      <c r="E44">
        <f t="shared" si="0"/>
        <v>21.587322731836466</v>
      </c>
      <c r="F44">
        <f t="shared" si="1"/>
        <v>9.2021656768462847</v>
      </c>
    </row>
    <row r="45" spans="1:6" x14ac:dyDescent="0.25">
      <c r="A45" s="20">
        <v>46104.370833333334</v>
      </c>
      <c r="B45" s="3">
        <v>25.1</v>
      </c>
      <c r="C45" s="3">
        <v>53.7</v>
      </c>
      <c r="D45" s="17">
        <v>1003.3</v>
      </c>
      <c r="E45">
        <f t="shared" si="0"/>
        <v>31.915962107927616</v>
      </c>
      <c r="F45">
        <f t="shared" si="1"/>
        <v>12.454917156228632</v>
      </c>
    </row>
    <row r="46" spans="1:6" x14ac:dyDescent="0.25">
      <c r="A46" s="20">
        <v>46104.412499999999</v>
      </c>
      <c r="B46" s="3">
        <v>30.8</v>
      </c>
      <c r="C46" s="3">
        <v>49.2</v>
      </c>
      <c r="D46" s="17">
        <v>1003.6</v>
      </c>
      <c r="E46">
        <f t="shared" si="0"/>
        <v>44.52181316171734</v>
      </c>
      <c r="F46">
        <f t="shared" si="1"/>
        <v>15.619778351893222</v>
      </c>
    </row>
    <row r="47" spans="1:6" x14ac:dyDescent="0.25">
      <c r="A47" s="20">
        <v>46104.454166550924</v>
      </c>
      <c r="B47" s="3">
        <v>36.4</v>
      </c>
      <c r="C47" s="3">
        <v>44.7</v>
      </c>
      <c r="D47" s="17">
        <v>1003.8</v>
      </c>
      <c r="E47">
        <f t="shared" si="0"/>
        <v>60.935109939454314</v>
      </c>
      <c r="F47">
        <f t="shared" si="1"/>
        <v>19.07143547258914</v>
      </c>
    </row>
    <row r="48" spans="1:6" x14ac:dyDescent="0.25">
      <c r="A48" s="20">
        <v>46104.495833159723</v>
      </c>
      <c r="B48" s="3">
        <v>40.5</v>
      </c>
      <c r="C48" s="3">
        <v>41.1</v>
      </c>
      <c r="D48" s="17">
        <v>1003.8</v>
      </c>
      <c r="E48">
        <f t="shared" si="0"/>
        <v>76.075813553135816</v>
      </c>
      <c r="F48">
        <f t="shared" si="1"/>
        <v>21.606389676158894</v>
      </c>
    </row>
    <row r="49" spans="1:6" x14ac:dyDescent="0.25">
      <c r="A49" s="20">
        <v>46104.537499768521</v>
      </c>
      <c r="B49" s="3">
        <v>41.5</v>
      </c>
      <c r="C49" s="3">
        <v>39.6</v>
      </c>
      <c r="D49" s="17">
        <v>1003.8</v>
      </c>
      <c r="E49">
        <f t="shared" si="0"/>
        <v>80.229304469701646</v>
      </c>
      <c r="F49">
        <f t="shared" si="1"/>
        <v>21.884647012560631</v>
      </c>
    </row>
    <row r="50" spans="1:6" x14ac:dyDescent="0.25">
      <c r="A50" s="20">
        <v>46104.579166377313</v>
      </c>
      <c r="B50" s="3">
        <v>42.9</v>
      </c>
      <c r="C50" s="3">
        <v>37.700000000000003</v>
      </c>
      <c r="D50" s="17">
        <v>1003.5</v>
      </c>
      <c r="E50">
        <f t="shared" si="0"/>
        <v>86.374027664212136</v>
      </c>
      <c r="F50">
        <f t="shared" si="1"/>
        <v>22.330980689732279</v>
      </c>
    </row>
    <row r="51" spans="1:6" x14ac:dyDescent="0.25">
      <c r="A51" s="7">
        <v>46104.620832986111</v>
      </c>
      <c r="B51" s="3">
        <v>43</v>
      </c>
      <c r="C51" s="3">
        <v>37.5</v>
      </c>
      <c r="D51" s="17">
        <v>1003.4</v>
      </c>
      <c r="E51">
        <f t="shared" si="0"/>
        <v>86.828136758241655</v>
      </c>
      <c r="F51">
        <f t="shared" si="1"/>
        <v>22.322232754603789</v>
      </c>
    </row>
    <row r="52" spans="1:6" x14ac:dyDescent="0.25">
      <c r="A52" s="7">
        <v>46104.66249959491</v>
      </c>
      <c r="B52" s="3">
        <v>40.5</v>
      </c>
      <c r="C52" s="3">
        <v>39.1</v>
      </c>
      <c r="D52" s="17">
        <v>1003.4</v>
      </c>
      <c r="E52">
        <f t="shared" si="0"/>
        <v>76.075813553135816</v>
      </c>
      <c r="F52">
        <f t="shared" si="1"/>
        <v>20.554983852501525</v>
      </c>
    </row>
    <row r="53" spans="1:6" x14ac:dyDescent="0.25">
      <c r="A53" s="7">
        <v>46104.704166203701</v>
      </c>
      <c r="B53" s="3">
        <v>36.700000000000003</v>
      </c>
      <c r="C53" s="3">
        <v>43</v>
      </c>
      <c r="D53" s="17">
        <v>1003.6</v>
      </c>
      <c r="E53">
        <f t="shared" si="0"/>
        <v>61.946298439334619</v>
      </c>
      <c r="F53">
        <f t="shared" si="1"/>
        <v>18.632510928542189</v>
      </c>
    </row>
    <row r="54" spans="1:6" x14ac:dyDescent="0.25">
      <c r="A54" s="7">
        <v>46104.745832812499</v>
      </c>
      <c r="B54" s="3">
        <v>29.7</v>
      </c>
      <c r="C54" s="3">
        <v>50</v>
      </c>
      <c r="D54" s="17">
        <v>1004</v>
      </c>
      <c r="E54">
        <f t="shared" si="0"/>
        <v>41.796902029647143</v>
      </c>
      <c r="F54">
        <f t="shared" si="1"/>
        <v>14.956348928356816</v>
      </c>
    </row>
    <row r="55" spans="1:6" x14ac:dyDescent="0.25">
      <c r="A55" s="7">
        <v>46104.787499421298</v>
      </c>
      <c r="B55" s="3">
        <v>24.3</v>
      </c>
      <c r="C55" s="3">
        <v>52.2</v>
      </c>
      <c r="D55" s="17">
        <v>1004.5</v>
      </c>
      <c r="E55">
        <f t="shared" si="0"/>
        <v>30.424654761345913</v>
      </c>
      <c r="F55">
        <f t="shared" si="1"/>
        <v>11.572341937443225</v>
      </c>
    </row>
    <row r="56" spans="1:6" x14ac:dyDescent="0.25">
      <c r="A56" s="7">
        <v>46104.829166030089</v>
      </c>
      <c r="B56" s="3">
        <v>20.7</v>
      </c>
      <c r="C56" s="3">
        <v>55.3</v>
      </c>
      <c r="D56" s="17">
        <v>1005.1</v>
      </c>
      <c r="E56">
        <f t="shared" si="0"/>
        <v>24.442628041026953</v>
      </c>
      <c r="F56">
        <f t="shared" si="1"/>
        <v>9.9697990351932528</v>
      </c>
    </row>
    <row r="57" spans="1:6" x14ac:dyDescent="0.25">
      <c r="A57" s="7">
        <v>46104.870832638888</v>
      </c>
      <c r="B57" s="3">
        <v>19.7</v>
      </c>
      <c r="C57" s="3">
        <v>54.6</v>
      </c>
      <c r="D57" s="17">
        <v>1006.1</v>
      </c>
      <c r="E57">
        <f t="shared" si="0"/>
        <v>22.976074380855042</v>
      </c>
      <c r="F57">
        <f t="shared" si="1"/>
        <v>9.2845810526664216</v>
      </c>
    </row>
    <row r="58" spans="1:6" x14ac:dyDescent="0.25">
      <c r="A58" s="7">
        <v>46104.912499247686</v>
      </c>
      <c r="B58" s="3">
        <v>18.3</v>
      </c>
      <c r="C58" s="3">
        <v>54.6</v>
      </c>
      <c r="D58" s="17">
        <v>1006.5</v>
      </c>
      <c r="E58">
        <f t="shared" si="0"/>
        <v>21.052808875490925</v>
      </c>
      <c r="F58">
        <f t="shared" si="1"/>
        <v>8.5482595451636705</v>
      </c>
    </row>
    <row r="59" spans="1:6" x14ac:dyDescent="0.25">
      <c r="A59" s="7">
        <v>46104.954165856485</v>
      </c>
      <c r="B59" s="3">
        <v>17.100000000000001</v>
      </c>
      <c r="C59" s="3">
        <v>55.2</v>
      </c>
      <c r="D59" s="17">
        <v>1006.6</v>
      </c>
      <c r="E59">
        <f t="shared" si="0"/>
        <v>19.51835794986922</v>
      </c>
      <c r="F59">
        <f t="shared" si="1"/>
        <v>8.0454288163106611</v>
      </c>
    </row>
    <row r="60" spans="1:6" x14ac:dyDescent="0.25">
      <c r="A60" s="7">
        <v>46104.995832465276</v>
      </c>
      <c r="B60" s="3">
        <v>16.5</v>
      </c>
      <c r="C60" s="3">
        <v>55.3</v>
      </c>
      <c r="D60" s="17">
        <v>1006.6</v>
      </c>
      <c r="E60">
        <f t="shared" si="0"/>
        <v>18.788673692903043</v>
      </c>
      <c r="F60">
        <f t="shared" si="1"/>
        <v>7.7747564174641548</v>
      </c>
    </row>
    <row r="61" spans="1:6" x14ac:dyDescent="0.25">
      <c r="A61" s="7">
        <v>46105.037499999999</v>
      </c>
      <c r="B61" s="3">
        <v>16</v>
      </c>
      <c r="C61" s="3">
        <v>55.6</v>
      </c>
      <c r="D61" s="17">
        <v>1006.9</v>
      </c>
      <c r="E61">
        <f t="shared" si="0"/>
        <v>18.199035702670855</v>
      </c>
      <c r="F61">
        <f t="shared" si="1"/>
        <v>7.5847110599946967</v>
      </c>
    </row>
    <row r="62" spans="1:6" x14ac:dyDescent="0.25">
      <c r="A62" s="7">
        <v>46105.07916666667</v>
      </c>
      <c r="B62" s="3">
        <v>16.2</v>
      </c>
      <c r="C62" s="3">
        <v>55.7</v>
      </c>
      <c r="D62" s="17">
        <v>1007</v>
      </c>
      <c r="E62">
        <f t="shared" si="0"/>
        <v>18.432908804160121</v>
      </c>
      <c r="F62">
        <f t="shared" si="1"/>
        <v>7.6906784185139516</v>
      </c>
    </row>
    <row r="63" spans="1:6" x14ac:dyDescent="0.25">
      <c r="A63" s="7">
        <v>46105.120833391207</v>
      </c>
      <c r="B63" s="3">
        <v>15.8</v>
      </c>
      <c r="C63" s="3">
        <v>56.9</v>
      </c>
      <c r="D63" s="17">
        <v>1007</v>
      </c>
      <c r="E63">
        <f t="shared" si="0"/>
        <v>17.967776010997483</v>
      </c>
      <c r="F63">
        <f t="shared" si="1"/>
        <v>7.6687214210860883</v>
      </c>
    </row>
    <row r="64" spans="1:6" x14ac:dyDescent="0.25">
      <c r="A64" s="7">
        <v>46105.162500115737</v>
      </c>
      <c r="B64" s="3">
        <v>15.8</v>
      </c>
      <c r="C64" s="3">
        <v>56.8</v>
      </c>
      <c r="D64" s="17">
        <v>1006.9</v>
      </c>
      <c r="E64">
        <f t="shared" si="0"/>
        <v>17.967776010997483</v>
      </c>
      <c r="F64">
        <f t="shared" si="1"/>
        <v>7.655243879045516</v>
      </c>
    </row>
    <row r="65" spans="1:6" x14ac:dyDescent="0.25">
      <c r="A65" s="7">
        <v>46105.204166840274</v>
      </c>
      <c r="B65" s="3">
        <v>15.6</v>
      </c>
      <c r="C65" s="3">
        <v>56.8</v>
      </c>
      <c r="D65" s="17">
        <v>1007.4</v>
      </c>
      <c r="E65">
        <f t="shared" si="0"/>
        <v>17.739104763293774</v>
      </c>
      <c r="F65">
        <f t="shared" si="1"/>
        <v>7.5630524180540064</v>
      </c>
    </row>
    <row r="66" spans="1:6" x14ac:dyDescent="0.25">
      <c r="A66" s="7">
        <v>46105.245833564812</v>
      </c>
      <c r="B66" s="3">
        <v>15.3</v>
      </c>
      <c r="C66" s="3">
        <v>56.7</v>
      </c>
      <c r="D66" s="17">
        <v>1007.7</v>
      </c>
      <c r="E66">
        <f t="shared" si="0"/>
        <v>17.400897088431293</v>
      </c>
      <c r="F66">
        <f t="shared" si="1"/>
        <v>7.4134988268841111</v>
      </c>
    </row>
    <row r="67" spans="1:6" x14ac:dyDescent="0.25">
      <c r="A67" s="7">
        <v>46105.287500289349</v>
      </c>
      <c r="B67" s="3">
        <v>15.1</v>
      </c>
      <c r="C67" s="3">
        <v>56.5</v>
      </c>
      <c r="D67" s="17">
        <v>1008.3</v>
      </c>
      <c r="E67">
        <f t="shared" ref="E67:E105" si="2">6.122*EXP((17.67*B67)/(B67+243.5))</f>
        <v>17.178588995181805</v>
      </c>
      <c r="F67">
        <f t="shared" ref="F67:F105" si="3">E67*C67*2.1674/(273.15+B67)</f>
        <v>7.2980307685372878</v>
      </c>
    </row>
    <row r="68" spans="1:6" x14ac:dyDescent="0.25">
      <c r="A68" s="7">
        <v>46105.329861111109</v>
      </c>
      <c r="B68" s="3">
        <v>19.899999999999999</v>
      </c>
      <c r="C68" s="3">
        <v>52.5</v>
      </c>
      <c r="D68" s="17">
        <v>1008.9</v>
      </c>
      <c r="E68">
        <f t="shared" si="2"/>
        <v>23.263045268028314</v>
      </c>
      <c r="F68">
        <f t="shared" si="3"/>
        <v>9.0328170158029018</v>
      </c>
    </row>
    <row r="69" spans="1:6" x14ac:dyDescent="0.25">
      <c r="A69" s="7">
        <v>46105.371527777781</v>
      </c>
      <c r="B69" s="3">
        <v>25.6</v>
      </c>
      <c r="C69" s="3">
        <v>48.3</v>
      </c>
      <c r="D69" s="17">
        <v>1009.8</v>
      </c>
      <c r="E69">
        <f t="shared" si="2"/>
        <v>32.880174865275031</v>
      </c>
      <c r="F69">
        <f t="shared" si="3"/>
        <v>11.521589675128904</v>
      </c>
    </row>
    <row r="70" spans="1:6" x14ac:dyDescent="0.25">
      <c r="A70" s="7">
        <v>46105.413194502318</v>
      </c>
      <c r="B70" s="3">
        <v>31.2</v>
      </c>
      <c r="C70" s="3">
        <v>44.2</v>
      </c>
      <c r="D70" s="17">
        <v>1010.4</v>
      </c>
      <c r="E70">
        <f t="shared" si="2"/>
        <v>45.550428831921494</v>
      </c>
      <c r="F70">
        <f t="shared" si="3"/>
        <v>14.337733450644176</v>
      </c>
    </row>
    <row r="71" spans="1:6" x14ac:dyDescent="0.25">
      <c r="A71" s="20">
        <v>46105.454861226855</v>
      </c>
      <c r="B71" s="3">
        <v>35.9</v>
      </c>
      <c r="C71" s="3">
        <v>40.6</v>
      </c>
      <c r="D71" s="17">
        <v>1010.4</v>
      </c>
      <c r="E71">
        <f t="shared" si="2"/>
        <v>59.281686884602934</v>
      </c>
      <c r="F71">
        <f t="shared" si="3"/>
        <v>16.879396224040608</v>
      </c>
    </row>
    <row r="72" spans="1:6" x14ac:dyDescent="0.25">
      <c r="A72" s="20">
        <v>46105.495833912035</v>
      </c>
      <c r="B72" s="3">
        <v>40.4</v>
      </c>
      <c r="C72" s="3">
        <v>37.4</v>
      </c>
      <c r="D72" s="17">
        <v>1010.2</v>
      </c>
      <c r="E72">
        <f t="shared" si="2"/>
        <v>75.670920701331923</v>
      </c>
      <c r="F72">
        <f t="shared" si="3"/>
        <v>19.5628842033159</v>
      </c>
    </row>
    <row r="73" spans="1:6" x14ac:dyDescent="0.25">
      <c r="A73" s="20">
        <v>46105.537500636572</v>
      </c>
      <c r="B73" s="3">
        <v>42.6</v>
      </c>
      <c r="C73" s="3">
        <v>35.799999999999997</v>
      </c>
      <c r="D73" s="17">
        <v>1010</v>
      </c>
      <c r="E73">
        <f t="shared" si="2"/>
        <v>85.024030615064206</v>
      </c>
      <c r="F73">
        <f t="shared" si="3"/>
        <v>20.893943960703808</v>
      </c>
    </row>
    <row r="74" spans="1:6" x14ac:dyDescent="0.25">
      <c r="A74" s="7">
        <v>46105.579167361109</v>
      </c>
      <c r="B74" s="3">
        <v>43.5</v>
      </c>
      <c r="C74" s="3">
        <v>34.799999999999997</v>
      </c>
      <c r="D74" s="17">
        <v>1009.9</v>
      </c>
      <c r="E74">
        <f t="shared" si="2"/>
        <v>89.129860716077317</v>
      </c>
      <c r="F74">
        <f t="shared" si="3"/>
        <v>21.230589269027963</v>
      </c>
    </row>
    <row r="75" spans="1:6" x14ac:dyDescent="0.25">
      <c r="A75" s="7">
        <v>46105.620834085646</v>
      </c>
      <c r="B75" s="3">
        <v>42.7</v>
      </c>
      <c r="C75" s="3">
        <v>25.6</v>
      </c>
      <c r="D75" s="17">
        <v>1009.9</v>
      </c>
      <c r="E75">
        <f t="shared" si="2"/>
        <v>85.471982388672714</v>
      </c>
      <c r="F75">
        <f t="shared" si="3"/>
        <v>15.0148822241816</v>
      </c>
    </row>
    <row r="76" spans="1:6" x14ac:dyDescent="0.25">
      <c r="A76" s="7">
        <v>46105.662500810184</v>
      </c>
      <c r="B76" s="3">
        <v>39.9</v>
      </c>
      <c r="C76" s="3">
        <v>37.5</v>
      </c>
      <c r="D76" s="17">
        <v>1009.8</v>
      </c>
      <c r="E76">
        <f t="shared" si="2"/>
        <v>73.674389959047389</v>
      </c>
      <c r="F76">
        <f t="shared" si="3"/>
        <v>19.128159175519809</v>
      </c>
    </row>
    <row r="77" spans="1:6" x14ac:dyDescent="0.25">
      <c r="A77" s="7">
        <v>46105.704167476855</v>
      </c>
      <c r="B77" s="10">
        <v>35.200000000000003</v>
      </c>
      <c r="C77" s="10">
        <v>41.6</v>
      </c>
      <c r="D77" s="18">
        <v>1009.8</v>
      </c>
      <c r="E77">
        <f t="shared" si="2"/>
        <v>57.032534563111774</v>
      </c>
      <c r="F77">
        <f t="shared" si="3"/>
        <v>16.676738515138254</v>
      </c>
    </row>
    <row r="78" spans="1:6" x14ac:dyDescent="0.25">
      <c r="A78" s="7">
        <v>46105.745834201392</v>
      </c>
      <c r="B78" s="10">
        <v>27.2</v>
      </c>
      <c r="C78" s="10">
        <v>47.3</v>
      </c>
      <c r="D78" s="18">
        <v>1010.3</v>
      </c>
      <c r="E78">
        <f t="shared" si="2"/>
        <v>36.139072405538919</v>
      </c>
      <c r="F78">
        <f t="shared" si="3"/>
        <v>12.33529598019806</v>
      </c>
    </row>
    <row r="79" spans="1:6" x14ac:dyDescent="0.25">
      <c r="A79" s="7">
        <v>46105.788194444445</v>
      </c>
      <c r="B79" s="10">
        <v>21.6</v>
      </c>
      <c r="C79" s="10">
        <v>50.9</v>
      </c>
      <c r="D79" s="18">
        <v>1010.4</v>
      </c>
      <c r="E79">
        <f t="shared" si="2"/>
        <v>25.8320829581276</v>
      </c>
      <c r="F79">
        <f t="shared" si="3"/>
        <v>9.6685748638350795</v>
      </c>
    </row>
    <row r="80" spans="1:6" x14ac:dyDescent="0.25">
      <c r="A80" s="7">
        <v>46105.829861111109</v>
      </c>
      <c r="B80" s="10">
        <v>18.2</v>
      </c>
      <c r="C80" s="10">
        <v>53.1</v>
      </c>
      <c r="D80" s="18">
        <v>1011</v>
      </c>
      <c r="E80">
        <f t="shared" si="2"/>
        <v>20.921010754363383</v>
      </c>
      <c r="F80">
        <f t="shared" si="3"/>
        <v>8.2642078306102036</v>
      </c>
    </row>
    <row r="81" spans="1:6" x14ac:dyDescent="0.25">
      <c r="A81" s="7">
        <v>46105.871527662035</v>
      </c>
      <c r="B81" s="10">
        <v>16.5</v>
      </c>
      <c r="C81" s="10">
        <v>62.4</v>
      </c>
      <c r="D81" s="18">
        <v>1011.2</v>
      </c>
      <c r="E81">
        <f t="shared" si="2"/>
        <v>18.788673692903043</v>
      </c>
      <c r="F81">
        <f t="shared" si="3"/>
        <v>8.772962033449609</v>
      </c>
    </row>
    <row r="82" spans="1:6" x14ac:dyDescent="0.25">
      <c r="A82" s="7">
        <v>46105.913194270834</v>
      </c>
      <c r="B82" s="10">
        <v>15</v>
      </c>
      <c r="C82" s="10">
        <v>65.099999999999994</v>
      </c>
      <c r="D82" s="18">
        <v>1011.3</v>
      </c>
      <c r="E82">
        <f t="shared" si="2"/>
        <v>17.06837492822736</v>
      </c>
      <c r="F82">
        <f t="shared" si="3"/>
        <v>8.3578314344804543</v>
      </c>
    </row>
    <row r="83" spans="1:6" x14ac:dyDescent="0.25">
      <c r="A83" s="7">
        <v>46105.954860879632</v>
      </c>
      <c r="B83" s="10">
        <v>14.3</v>
      </c>
      <c r="C83" s="10">
        <v>70.599999999999994</v>
      </c>
      <c r="D83" s="18">
        <v>1011.8</v>
      </c>
      <c r="E83">
        <f t="shared" si="2"/>
        <v>16.314142385216339</v>
      </c>
      <c r="F83">
        <f t="shared" si="3"/>
        <v>8.6845177169027075</v>
      </c>
    </row>
    <row r="84" spans="1:6" x14ac:dyDescent="0.25">
      <c r="A84" s="7">
        <v>46105.996527488423</v>
      </c>
      <c r="B84" s="10">
        <v>13.8</v>
      </c>
      <c r="C84" s="10">
        <v>70.099999999999994</v>
      </c>
      <c r="D84" s="18">
        <v>1011.8</v>
      </c>
      <c r="E84">
        <f t="shared" si="2"/>
        <v>15.793519282515897</v>
      </c>
      <c r="F84">
        <f t="shared" si="3"/>
        <v>8.362377577536293</v>
      </c>
    </row>
    <row r="85" spans="1:6" x14ac:dyDescent="0.25">
      <c r="A85" s="7">
        <v>46106.038194097222</v>
      </c>
      <c r="B85" s="10">
        <v>13.3</v>
      </c>
      <c r="C85" s="10">
        <v>68.900000000000006</v>
      </c>
      <c r="D85" s="18">
        <v>1011.5</v>
      </c>
      <c r="E85">
        <f t="shared" si="2"/>
        <v>15.287579627731787</v>
      </c>
      <c r="F85">
        <f t="shared" si="3"/>
        <v>7.9698141939834226</v>
      </c>
    </row>
    <row r="86" spans="1:6" x14ac:dyDescent="0.25">
      <c r="A86" s="7">
        <v>46106.079860706021</v>
      </c>
      <c r="B86" s="10">
        <v>13.2</v>
      </c>
      <c r="C86" s="10">
        <v>71.400000000000006</v>
      </c>
      <c r="D86" s="18">
        <v>1011.3</v>
      </c>
      <c r="E86">
        <f t="shared" si="2"/>
        <v>15.188122295312398</v>
      </c>
      <c r="F86">
        <f t="shared" si="3"/>
        <v>8.2081291048304923</v>
      </c>
    </row>
    <row r="87" spans="1:6" x14ac:dyDescent="0.25">
      <c r="A87" s="7">
        <v>46106.121527314812</v>
      </c>
      <c r="B87" s="10">
        <v>13.7</v>
      </c>
      <c r="C87" s="10">
        <v>76</v>
      </c>
      <c r="D87" s="18">
        <v>1010.7</v>
      </c>
      <c r="E87">
        <f t="shared" si="2"/>
        <v>15.691168156405597</v>
      </c>
      <c r="F87">
        <f t="shared" si="3"/>
        <v>9.0105869880659082</v>
      </c>
    </row>
    <row r="88" spans="1:6" x14ac:dyDescent="0.25">
      <c r="A88" s="7">
        <v>46106.16319392361</v>
      </c>
      <c r="B88" s="10">
        <v>13.4</v>
      </c>
      <c r="C88" s="10">
        <v>76.599999999999994</v>
      </c>
      <c r="D88" s="18">
        <v>1010.3</v>
      </c>
      <c r="E88">
        <f t="shared" si="2"/>
        <v>15.387610052545227</v>
      </c>
      <c r="F88">
        <f t="shared" si="3"/>
        <v>8.9153541152891567</v>
      </c>
    </row>
    <row r="89" spans="1:6" x14ac:dyDescent="0.25">
      <c r="A89" s="7">
        <v>46106.20416666667</v>
      </c>
      <c r="B89" s="10">
        <v>14.2</v>
      </c>
      <c r="C89" s="10">
        <v>76.400000000000006</v>
      </c>
      <c r="D89" s="18">
        <v>1010.3</v>
      </c>
      <c r="E89">
        <f t="shared" si="2"/>
        <v>16.208825781870715</v>
      </c>
      <c r="F89">
        <f t="shared" si="3"/>
        <v>9.3405571170052966</v>
      </c>
    </row>
    <row r="90" spans="1:6" x14ac:dyDescent="0.25">
      <c r="A90" s="7">
        <v>46106.245833333334</v>
      </c>
      <c r="B90" s="10">
        <v>13.3</v>
      </c>
      <c r="C90" s="10">
        <v>72.599999999999994</v>
      </c>
      <c r="D90" s="18">
        <v>1010.5</v>
      </c>
      <c r="E90">
        <f t="shared" si="2"/>
        <v>15.287579627731787</v>
      </c>
      <c r="F90">
        <f t="shared" si="3"/>
        <v>8.3978013132539377</v>
      </c>
    </row>
    <row r="91" spans="1:6" x14ac:dyDescent="0.25">
      <c r="A91" s="7">
        <v>46106.287499999999</v>
      </c>
      <c r="B91" s="10">
        <v>12.8</v>
      </c>
      <c r="C91" s="10">
        <v>72.599999999999994</v>
      </c>
      <c r="D91" s="18">
        <v>1010.9</v>
      </c>
      <c r="E91">
        <f t="shared" si="2"/>
        <v>14.795967846447118</v>
      </c>
      <c r="F91">
        <f t="shared" si="3"/>
        <v>8.1419600614592635</v>
      </c>
    </row>
    <row r="92" spans="1:6" x14ac:dyDescent="0.25">
      <c r="A92" s="7">
        <v>46106.329861111109</v>
      </c>
      <c r="B92" s="10">
        <v>15.9</v>
      </c>
      <c r="C92" s="10">
        <v>68.3</v>
      </c>
      <c r="D92" s="18">
        <v>1011.1</v>
      </c>
      <c r="E92">
        <f t="shared" si="2"/>
        <v>18.08308074553138</v>
      </c>
      <c r="F92">
        <f t="shared" si="3"/>
        <v>9.2610284964440766</v>
      </c>
    </row>
    <row r="93" spans="1:6" x14ac:dyDescent="0.25">
      <c r="A93" s="20">
        <v>46106.371527777781</v>
      </c>
      <c r="B93" s="10">
        <v>22.8</v>
      </c>
      <c r="C93" s="10">
        <v>42.9</v>
      </c>
      <c r="D93" s="18">
        <v>1011</v>
      </c>
      <c r="E93">
        <f t="shared" si="2"/>
        <v>27.79216176825966</v>
      </c>
      <c r="F93">
        <f t="shared" si="3"/>
        <v>8.7317309605303777</v>
      </c>
    </row>
    <row r="94" spans="1:6" x14ac:dyDescent="0.25">
      <c r="A94" s="20">
        <v>46106.413194502318</v>
      </c>
      <c r="B94" s="10">
        <v>24.9</v>
      </c>
      <c r="C94" s="10">
        <v>41.7</v>
      </c>
      <c r="D94" s="18">
        <v>1011.1</v>
      </c>
      <c r="E94">
        <f t="shared" si="2"/>
        <v>31.537261910121984</v>
      </c>
      <c r="F94">
        <f t="shared" si="3"/>
        <v>9.5633485088029992</v>
      </c>
    </row>
    <row r="95" spans="1:6" x14ac:dyDescent="0.25">
      <c r="A95" s="7">
        <v>46106.454861226855</v>
      </c>
      <c r="B95" s="10">
        <v>31.5</v>
      </c>
      <c r="C95" s="10">
        <v>30.5</v>
      </c>
      <c r="D95" s="19">
        <v>1010.6</v>
      </c>
      <c r="E95">
        <f t="shared" si="2"/>
        <v>46.335435889423081</v>
      </c>
      <c r="F95">
        <f t="shared" si="3"/>
        <v>10.054280073118123</v>
      </c>
    </row>
    <row r="96" spans="1:6" x14ac:dyDescent="0.25">
      <c r="A96" s="7">
        <v>46106.496527951385</v>
      </c>
      <c r="B96" s="10">
        <v>35.5</v>
      </c>
      <c r="C96" s="10">
        <v>25.1</v>
      </c>
      <c r="D96" s="19">
        <v>1010</v>
      </c>
      <c r="E96">
        <f t="shared" si="2"/>
        <v>57.987192886180182</v>
      </c>
      <c r="F96">
        <f t="shared" si="3"/>
        <v>10.220651840997325</v>
      </c>
    </row>
    <row r="97" spans="1:6" x14ac:dyDescent="0.25">
      <c r="A97" s="7">
        <v>46106.538194675923</v>
      </c>
      <c r="B97" s="10">
        <v>36.799999999999997</v>
      </c>
      <c r="C97" s="10">
        <v>23.2</v>
      </c>
      <c r="D97" s="19">
        <v>1009.2</v>
      </c>
      <c r="E97">
        <f t="shared" si="2"/>
        <v>62.286588906861425</v>
      </c>
      <c r="F97">
        <f t="shared" si="3"/>
        <v>10.104852088672915</v>
      </c>
    </row>
    <row r="98" spans="1:6" x14ac:dyDescent="0.25">
      <c r="A98" s="7">
        <v>46106.579861342594</v>
      </c>
      <c r="B98" s="10">
        <v>38.6</v>
      </c>
      <c r="C98" s="10">
        <v>23</v>
      </c>
      <c r="D98" s="19">
        <v>1008.6</v>
      </c>
      <c r="E98">
        <f t="shared" si="2"/>
        <v>68.696004462164993</v>
      </c>
      <c r="F98">
        <f t="shared" si="3"/>
        <v>10.984794103094844</v>
      </c>
    </row>
    <row r="99" spans="1:6" x14ac:dyDescent="0.25">
      <c r="A99" s="7">
        <v>46106.621528067131</v>
      </c>
      <c r="B99" s="10">
        <v>35.200000000000003</v>
      </c>
      <c r="C99" s="10">
        <v>27.7</v>
      </c>
      <c r="D99" s="19">
        <v>1007.9</v>
      </c>
      <c r="E99">
        <f t="shared" si="2"/>
        <v>57.032534563111774</v>
      </c>
      <c r="F99">
        <f t="shared" si="3"/>
        <v>11.104462905512731</v>
      </c>
    </row>
    <row r="100" spans="1:6" x14ac:dyDescent="0.25">
      <c r="A100" s="7">
        <v>46106.663194791669</v>
      </c>
      <c r="B100" s="10">
        <v>38.1</v>
      </c>
      <c r="C100" s="10">
        <v>25.2</v>
      </c>
      <c r="D100" s="19">
        <v>1007.2</v>
      </c>
      <c r="E100">
        <f t="shared" si="2"/>
        <v>66.860591059259491</v>
      </c>
      <c r="F100">
        <f t="shared" si="3"/>
        <v>11.732767407416366</v>
      </c>
    </row>
    <row r="101" spans="1:6" x14ac:dyDescent="0.25">
      <c r="A101" s="7">
        <v>46106.704861516206</v>
      </c>
      <c r="B101" s="10">
        <v>34.1</v>
      </c>
      <c r="C101" s="10">
        <v>28.9</v>
      </c>
      <c r="D101" s="19">
        <v>1006.9</v>
      </c>
      <c r="E101">
        <f t="shared" si="2"/>
        <v>53.648161381369384</v>
      </c>
      <c r="F101">
        <f t="shared" si="3"/>
        <v>10.937041568311219</v>
      </c>
    </row>
    <row r="102" spans="1:6" x14ac:dyDescent="0.25">
      <c r="A102" s="7">
        <v>46106.746528240743</v>
      </c>
      <c r="B102" s="10">
        <v>25</v>
      </c>
      <c r="C102" s="10">
        <v>44</v>
      </c>
      <c r="D102" s="19">
        <v>1006.9</v>
      </c>
      <c r="E102">
        <f t="shared" si="2"/>
        <v>31.726117487464919</v>
      </c>
      <c r="F102">
        <f t="shared" si="3"/>
        <v>10.147845815403604</v>
      </c>
    </row>
    <row r="103" spans="1:6" x14ac:dyDescent="0.25">
      <c r="A103" s="7">
        <v>46106.788888888892</v>
      </c>
      <c r="B103" s="10">
        <v>19.2</v>
      </c>
      <c r="C103" s="10">
        <v>56.5</v>
      </c>
      <c r="D103" s="19">
        <v>1006.8</v>
      </c>
      <c r="E103">
        <f t="shared" si="2"/>
        <v>22.272197774772867</v>
      </c>
      <c r="F103">
        <f t="shared" si="3"/>
        <v>9.3292663667621465</v>
      </c>
    </row>
    <row r="104" spans="1:6" x14ac:dyDescent="0.25">
      <c r="A104" s="7">
        <v>46106.830555555556</v>
      </c>
      <c r="B104" s="10">
        <v>16.8</v>
      </c>
      <c r="C104" s="10">
        <v>61.2</v>
      </c>
      <c r="D104" s="19">
        <v>1007</v>
      </c>
      <c r="E104">
        <f t="shared" si="2"/>
        <v>19.150461158635682</v>
      </c>
      <c r="F104">
        <f t="shared" si="3"/>
        <v>8.7608574662248362</v>
      </c>
    </row>
    <row r="105" spans="1:6" x14ac:dyDescent="0.25">
      <c r="A105" s="7">
        <v>46106.87222222222</v>
      </c>
      <c r="B105" s="10">
        <v>15</v>
      </c>
      <c r="C105" s="10">
        <v>63.3</v>
      </c>
      <c r="D105" s="19">
        <v>1007.1</v>
      </c>
      <c r="E105">
        <f t="shared" si="2"/>
        <v>17.06837492822736</v>
      </c>
      <c r="F105">
        <f t="shared" si="3"/>
        <v>8.1267393210846812</v>
      </c>
    </row>
    <row r="106" spans="1:6" x14ac:dyDescent="0.25">
      <c r="A106" s="7">
        <v>46106.913194444445</v>
      </c>
      <c r="B106" s="10">
        <v>14.4</v>
      </c>
      <c r="C106" s="10">
        <v>65.2</v>
      </c>
      <c r="D106" s="19">
        <v>1006.8</v>
      </c>
      <c r="E106">
        <f t="shared" ref="E106:E109" si="4">6.122*EXP((17.67*B106)/(B106+243.5))</f>
        <v>16.420060812246433</v>
      </c>
      <c r="F106">
        <f t="shared" ref="F106:F109" si="5">E106*C106*2.1674/(273.15+B106)</f>
        <v>8.069526535388567</v>
      </c>
    </row>
    <row r="107" spans="1:6" x14ac:dyDescent="0.25">
      <c r="A107" s="7">
        <v>46106.954861111109</v>
      </c>
      <c r="B107" s="10">
        <v>13.6</v>
      </c>
      <c r="C107" s="10">
        <v>65.2</v>
      </c>
      <c r="D107" s="19">
        <v>1006.6</v>
      </c>
      <c r="E107">
        <f t="shared" si="4"/>
        <v>15.589401478056939</v>
      </c>
      <c r="F107">
        <f t="shared" si="5"/>
        <v>7.6826788609689558</v>
      </c>
    </row>
    <row r="108" spans="1:6" x14ac:dyDescent="0.25">
      <c r="A108" s="7">
        <v>46106.996527662035</v>
      </c>
      <c r="B108" s="10">
        <v>12.9</v>
      </c>
      <c r="C108" s="10">
        <v>67</v>
      </c>
      <c r="D108" s="19">
        <v>1006.6</v>
      </c>
      <c r="E108">
        <f t="shared" si="4"/>
        <v>14.893160802821738</v>
      </c>
      <c r="F108">
        <f t="shared" si="5"/>
        <v>7.5606441549043923</v>
      </c>
    </row>
    <row r="109" spans="1:6" x14ac:dyDescent="0.25">
      <c r="A109" s="7">
        <v>46107.038194270834</v>
      </c>
      <c r="B109" s="10">
        <v>12.3</v>
      </c>
      <c r="C109" s="10">
        <v>68.900000000000006</v>
      </c>
      <c r="D109" s="19">
        <v>1006.2</v>
      </c>
      <c r="E109">
        <f t="shared" si="4"/>
        <v>14.318335409957264</v>
      </c>
      <c r="F109">
        <f t="shared" si="5"/>
        <v>7.4906719059155762</v>
      </c>
    </row>
    <row r="110" spans="1:6" x14ac:dyDescent="0.25">
      <c r="A110" s="7">
        <v>46107.079860937498</v>
      </c>
      <c r="B110" s="10">
        <v>11.9</v>
      </c>
      <c r="C110" s="10">
        <v>69.5</v>
      </c>
      <c r="D110" s="19">
        <v>1005.6</v>
      </c>
      <c r="E110">
        <f t="shared" ref="E110:E117" si="6">6.122*EXP((17.67*B110)/(B110+243.5))</f>
        <v>13.946064812160442</v>
      </c>
      <c r="F110">
        <f t="shared" ref="F110:F117" si="7">E110*C110*2.1674/(273.15+B110)</f>
        <v>7.3697797254320996</v>
      </c>
    </row>
    <row r="111" spans="1:6" x14ac:dyDescent="0.25">
      <c r="A111" s="7">
        <v>46107.121527604169</v>
      </c>
      <c r="B111" s="10">
        <v>11.8</v>
      </c>
      <c r="C111" s="10">
        <v>72</v>
      </c>
      <c r="D111" s="19">
        <v>1005.3</v>
      </c>
      <c r="E111">
        <f t="shared" si="6"/>
        <v>13.854340731603656</v>
      </c>
      <c r="F111">
        <f t="shared" si="7"/>
        <v>7.587326419795752</v>
      </c>
    </row>
    <row r="112" spans="1:6" x14ac:dyDescent="0.25">
      <c r="A112" s="7">
        <v>46107.163194270834</v>
      </c>
      <c r="B112" s="10">
        <v>11.6</v>
      </c>
      <c r="C112" s="10">
        <v>72.3</v>
      </c>
      <c r="D112" s="19">
        <v>1005.1</v>
      </c>
      <c r="E112">
        <f t="shared" si="6"/>
        <v>13.672486221651356</v>
      </c>
      <c r="F112">
        <f t="shared" si="7"/>
        <v>7.5242138080462064</v>
      </c>
    </row>
    <row r="113" spans="1:6" x14ac:dyDescent="0.25">
      <c r="A113" s="7">
        <v>46107.204860937498</v>
      </c>
      <c r="B113" s="10">
        <v>13.1</v>
      </c>
      <c r="C113" s="10">
        <v>75.2</v>
      </c>
      <c r="D113" s="19">
        <v>1005.3</v>
      </c>
      <c r="E113">
        <f t="shared" si="6"/>
        <v>15.089235244710883</v>
      </c>
      <c r="F113">
        <f t="shared" si="7"/>
        <v>8.5916908887261325</v>
      </c>
    </row>
    <row r="114" spans="1:6" x14ac:dyDescent="0.25">
      <c r="A114" s="7">
        <v>46107.246527604169</v>
      </c>
      <c r="B114" s="10">
        <v>13.1</v>
      </c>
      <c r="C114" s="10">
        <v>74.5</v>
      </c>
      <c r="D114" s="19">
        <v>1005.8</v>
      </c>
      <c r="E114">
        <f t="shared" si="6"/>
        <v>15.089235244710883</v>
      </c>
      <c r="F114">
        <f t="shared" si="7"/>
        <v>8.5117150426874577</v>
      </c>
    </row>
    <row r="115" spans="1:6" x14ac:dyDescent="0.25">
      <c r="A115" s="7">
        <v>46107.288194270834</v>
      </c>
      <c r="B115" s="10">
        <v>14.4</v>
      </c>
      <c r="C115" s="10">
        <v>65.5</v>
      </c>
      <c r="D115" s="19">
        <v>1005.9</v>
      </c>
      <c r="E115">
        <f t="shared" si="6"/>
        <v>16.420060812246433</v>
      </c>
      <c r="F115">
        <f t="shared" si="7"/>
        <v>8.1066562587109079</v>
      </c>
    </row>
    <row r="116" spans="1:6" x14ac:dyDescent="0.25">
      <c r="A116" s="7">
        <v>46107.330555555556</v>
      </c>
      <c r="B116" s="10">
        <v>18.600000000000001</v>
      </c>
      <c r="C116" s="10">
        <v>44.3</v>
      </c>
      <c r="D116" s="19">
        <v>1006</v>
      </c>
      <c r="E116">
        <f t="shared" si="6"/>
        <v>21.452589177686985</v>
      </c>
      <c r="F116">
        <f t="shared" si="7"/>
        <v>7.0601129083761496</v>
      </c>
    </row>
    <row r="117" spans="1:6" x14ac:dyDescent="0.25">
      <c r="A117" s="7">
        <v>46107.37222222222</v>
      </c>
      <c r="B117" s="10">
        <v>22.6</v>
      </c>
      <c r="C117" s="10">
        <v>34.700000000000003</v>
      </c>
      <c r="D117" s="19">
        <v>1006.1</v>
      </c>
      <c r="E117">
        <f t="shared" si="6"/>
        <v>27.456704268497106</v>
      </c>
      <c r="F117">
        <f t="shared" si="7"/>
        <v>6.9821985827707866</v>
      </c>
    </row>
    <row r="118" spans="1:6" x14ac:dyDescent="0.25">
      <c r="A118" s="7">
        <v>46107.413888773146</v>
      </c>
      <c r="B118" s="10">
        <v>25.8</v>
      </c>
      <c r="C118" s="10">
        <v>30.8</v>
      </c>
      <c r="D118" s="19">
        <v>1006.3</v>
      </c>
      <c r="E118">
        <f t="shared" ref="E118:E122" si="8">6.122*EXP((17.67*B118)/(B118+243.5))</f>
        <v>33.272937934671241</v>
      </c>
      <c r="F118">
        <f t="shared" ref="F118:F122" si="9">E118*C118*2.1674/(273.15+B118)</f>
        <v>7.4298898910583002</v>
      </c>
    </row>
    <row r="119" spans="1:6" x14ac:dyDescent="0.25">
      <c r="A119" s="7">
        <v>46107.455555381945</v>
      </c>
      <c r="B119" s="10">
        <v>28.6</v>
      </c>
      <c r="C119" s="10">
        <v>26.7</v>
      </c>
      <c r="D119" s="19">
        <v>1006</v>
      </c>
      <c r="E119">
        <f t="shared" si="8"/>
        <v>39.218734425950196</v>
      </c>
      <c r="F119">
        <f t="shared" si="9"/>
        <v>7.5213643392254497</v>
      </c>
    </row>
    <row r="120" spans="1:6" x14ac:dyDescent="0.25">
      <c r="A120" s="7">
        <v>46107.497221990743</v>
      </c>
      <c r="B120" s="10">
        <v>30.5</v>
      </c>
      <c r="C120" s="10">
        <v>23.5</v>
      </c>
      <c r="D120" s="19">
        <v>1005.8</v>
      </c>
      <c r="E120">
        <f t="shared" si="8"/>
        <v>43.763708414692772</v>
      </c>
      <c r="F120">
        <f t="shared" si="9"/>
        <v>7.3408738614296736</v>
      </c>
    </row>
    <row r="121" spans="1:6" x14ac:dyDescent="0.25">
      <c r="A121" s="7">
        <v>46107.538888599534</v>
      </c>
      <c r="B121" s="10">
        <v>31.8</v>
      </c>
      <c r="C121" s="10">
        <v>21.5</v>
      </c>
      <c r="D121" s="19">
        <v>1005.2</v>
      </c>
      <c r="E121">
        <f t="shared" si="8"/>
        <v>47.132216363295854</v>
      </c>
      <c r="F121">
        <f t="shared" si="9"/>
        <v>7.2022261470236444</v>
      </c>
    </row>
    <row r="122" spans="1:6" x14ac:dyDescent="0.25">
      <c r="A122" s="7">
        <v>46107.580555092594</v>
      </c>
      <c r="B122" s="10">
        <v>34.4</v>
      </c>
      <c r="C122" s="10">
        <v>20.100000000000001</v>
      </c>
      <c r="D122" s="19">
        <v>1004.5</v>
      </c>
      <c r="E122">
        <f t="shared" si="8"/>
        <v>54.553356044955336</v>
      </c>
      <c r="F122">
        <f t="shared" si="9"/>
        <v>7.7275329937438091</v>
      </c>
    </row>
    <row r="123" spans="1:6" x14ac:dyDescent="0.25">
      <c r="A123" s="7">
        <v>46107.621527777781</v>
      </c>
      <c r="B123" s="10">
        <v>34.200000000000003</v>
      </c>
      <c r="C123" s="10">
        <v>20.3</v>
      </c>
      <c r="D123" s="19">
        <v>1003.8</v>
      </c>
      <c r="E123">
        <f t="shared" ref="E123:E136" si="10">6.122*EXP((17.67*B123)/(B123+243.5))</f>
        <v>53.948428348279123</v>
      </c>
      <c r="F123">
        <f t="shared" ref="F123:F136" si="11">E123*C123*2.1674/(273.15+B123)</f>
        <v>7.7229048938403198</v>
      </c>
    </row>
    <row r="124" spans="1:6" x14ac:dyDescent="0.25">
      <c r="A124" s="7">
        <v>46107.663194444445</v>
      </c>
      <c r="B124" s="10">
        <v>33.299999999999997</v>
      </c>
      <c r="C124" s="10">
        <v>21</v>
      </c>
      <c r="D124" s="19">
        <v>1003.3</v>
      </c>
      <c r="E124">
        <f t="shared" si="10"/>
        <v>51.297967102513617</v>
      </c>
      <c r="F124">
        <f t="shared" si="11"/>
        <v>7.6190161261470015</v>
      </c>
    </row>
    <row r="125" spans="1:6" x14ac:dyDescent="0.25">
      <c r="A125" s="7">
        <v>46107.704861111109</v>
      </c>
      <c r="B125" s="10">
        <v>30.8</v>
      </c>
      <c r="C125" s="10">
        <v>18.5</v>
      </c>
      <c r="D125" s="19">
        <v>1003.1</v>
      </c>
      <c r="E125">
        <f t="shared" si="10"/>
        <v>44.52181316171734</v>
      </c>
      <c r="F125">
        <f t="shared" si="11"/>
        <v>5.873290640447653</v>
      </c>
    </row>
    <row r="126" spans="1:6" x14ac:dyDescent="0.25">
      <c r="A126" s="7">
        <v>46107.746527662035</v>
      </c>
      <c r="B126" s="10">
        <v>24.4</v>
      </c>
      <c r="C126" s="10">
        <v>27.2</v>
      </c>
      <c r="D126" s="19">
        <v>1003.3</v>
      </c>
      <c r="E126">
        <f t="shared" si="10"/>
        <v>30.607667291409204</v>
      </c>
      <c r="F126">
        <f t="shared" si="11"/>
        <v>6.0642661064603889</v>
      </c>
    </row>
    <row r="127" spans="1:6" x14ac:dyDescent="0.25">
      <c r="A127" s="7">
        <v>46107.788194270834</v>
      </c>
      <c r="B127" s="10">
        <v>21.4</v>
      </c>
      <c r="C127" s="10">
        <v>41.5</v>
      </c>
      <c r="D127" s="19">
        <v>1003.8</v>
      </c>
      <c r="E127">
        <f t="shared" si="10"/>
        <v>25.517471112011879</v>
      </c>
      <c r="F127">
        <f t="shared" si="11"/>
        <v>7.7923019041223718</v>
      </c>
    </row>
    <row r="128" spans="1:6" x14ac:dyDescent="0.25">
      <c r="A128" s="7">
        <v>46107.830555092594</v>
      </c>
      <c r="B128" s="10">
        <v>18.2</v>
      </c>
      <c r="C128" s="10">
        <v>47.6</v>
      </c>
      <c r="D128" s="19">
        <v>1004.5</v>
      </c>
      <c r="E128">
        <f t="shared" si="10"/>
        <v>20.921010754363383</v>
      </c>
      <c r="F128">
        <f t="shared" si="11"/>
        <v>7.4082164357259073</v>
      </c>
    </row>
    <row r="129" spans="1:6" x14ac:dyDescent="0.25">
      <c r="A129" s="7">
        <v>46107.872221817132</v>
      </c>
      <c r="B129" s="10">
        <v>16.7</v>
      </c>
      <c r="C129" s="10">
        <v>51.2</v>
      </c>
      <c r="D129" s="19">
        <v>1005.1</v>
      </c>
      <c r="E129">
        <f t="shared" si="10"/>
        <v>19.029190827360488</v>
      </c>
      <c r="F129">
        <f t="shared" si="11"/>
        <v>7.2854443739869659</v>
      </c>
    </row>
    <row r="130" spans="1:6" x14ac:dyDescent="0.25">
      <c r="A130" s="7">
        <v>46107.913888541669</v>
      </c>
      <c r="B130" s="10">
        <v>16.2</v>
      </c>
      <c r="C130" s="10">
        <v>53.4</v>
      </c>
      <c r="D130" s="19">
        <v>1005.3</v>
      </c>
      <c r="E130">
        <f t="shared" si="10"/>
        <v>18.432908804160121</v>
      </c>
      <c r="F130">
        <f t="shared" si="11"/>
        <v>7.3731100098499995</v>
      </c>
    </row>
    <row r="131" spans="1:6" x14ac:dyDescent="0.25">
      <c r="A131" s="7">
        <v>46107.955555266206</v>
      </c>
      <c r="B131" s="10">
        <v>17.2</v>
      </c>
      <c r="C131" s="10">
        <v>45.6</v>
      </c>
      <c r="D131" s="19">
        <v>1005.5</v>
      </c>
      <c r="E131">
        <f t="shared" si="10"/>
        <v>19.642362980404268</v>
      </c>
      <c r="F131">
        <f t="shared" si="11"/>
        <v>6.686145352443627</v>
      </c>
    </row>
    <row r="132" spans="1:6" x14ac:dyDescent="0.25">
      <c r="A132" s="7">
        <v>46107.997221990743</v>
      </c>
      <c r="B132" s="10">
        <v>17.399999999999999</v>
      </c>
      <c r="C132" s="10">
        <v>37.799999999999997</v>
      </c>
      <c r="D132" s="19">
        <v>1005.5</v>
      </c>
      <c r="E132">
        <f t="shared" si="10"/>
        <v>19.892451825271188</v>
      </c>
      <c r="F132">
        <f t="shared" si="11"/>
        <v>5.6091661443961689</v>
      </c>
    </row>
    <row r="133" spans="1:6" x14ac:dyDescent="0.25">
      <c r="A133" s="7">
        <v>46108.03888871528</v>
      </c>
      <c r="B133" s="10">
        <v>17.2</v>
      </c>
      <c r="C133" s="10">
        <v>35.200000000000003</v>
      </c>
      <c r="D133" s="19">
        <v>1005.2</v>
      </c>
      <c r="E133">
        <f t="shared" si="10"/>
        <v>19.642362980404268</v>
      </c>
      <c r="F133">
        <f t="shared" si="11"/>
        <v>5.1612350089038523</v>
      </c>
    </row>
    <row r="134" spans="1:6" x14ac:dyDescent="0.25">
      <c r="A134" s="7">
        <v>46108.080555439818</v>
      </c>
      <c r="B134" s="10">
        <v>16.899999999999999</v>
      </c>
      <c r="C134" s="10">
        <v>32.5</v>
      </c>
      <c r="D134" s="19">
        <v>1005.1</v>
      </c>
      <c r="E134">
        <f t="shared" si="10"/>
        <v>19.27241029554142</v>
      </c>
      <c r="F134">
        <f t="shared" si="11"/>
        <v>4.6804282621033817</v>
      </c>
    </row>
    <row r="135" spans="1:6" x14ac:dyDescent="0.25">
      <c r="A135" s="7">
        <v>46108.12222222222</v>
      </c>
      <c r="B135" s="10">
        <v>16.3</v>
      </c>
      <c r="C135" s="10">
        <v>34.299999999999997</v>
      </c>
      <c r="D135" s="19">
        <v>1004.8</v>
      </c>
      <c r="E135">
        <f t="shared" si="10"/>
        <v>18.550833238720219</v>
      </c>
      <c r="F135">
        <f t="shared" si="11"/>
        <v>4.7645628104437918</v>
      </c>
    </row>
    <row r="136" spans="1:6" x14ac:dyDescent="0.25">
      <c r="A136" s="7">
        <v>46108.163888888892</v>
      </c>
      <c r="B136" s="10">
        <v>15.3</v>
      </c>
      <c r="C136" s="10">
        <v>37.4</v>
      </c>
      <c r="D136" s="19">
        <v>1004.9</v>
      </c>
      <c r="E136">
        <f t="shared" si="10"/>
        <v>17.400897088431293</v>
      </c>
      <c r="F136">
        <f t="shared" si="11"/>
        <v>4.8900327358988669</v>
      </c>
    </row>
    <row r="137" spans="1:6" x14ac:dyDescent="0.25">
      <c r="A137" s="7">
        <v>46108.379166666666</v>
      </c>
      <c r="B137" s="10">
        <v>22.7</v>
      </c>
      <c r="C137" s="10">
        <v>26.4</v>
      </c>
      <c r="D137" s="19">
        <v>1007.5</v>
      </c>
      <c r="E137">
        <f t="shared" ref="E137:E146" si="12">6.122*EXP((17.67*B137)/(B137+243.5))</f>
        <v>27.623986818097869</v>
      </c>
      <c r="F137">
        <f t="shared" ref="F137:F146" si="13">E137*C137*2.1674/(273.15+B137)</f>
        <v>5.3426629926651907</v>
      </c>
    </row>
    <row r="138" spans="1:6" x14ac:dyDescent="0.25">
      <c r="A138" s="7">
        <v>46108.42083333333</v>
      </c>
      <c r="B138" s="10">
        <v>25.5</v>
      </c>
      <c r="C138" s="10">
        <v>24.9</v>
      </c>
      <c r="D138" s="19">
        <v>1007.8</v>
      </c>
      <c r="E138">
        <f t="shared" si="12"/>
        <v>32.685318947660242</v>
      </c>
      <c r="F138">
        <f t="shared" si="13"/>
        <v>5.9064784568901878</v>
      </c>
    </row>
    <row r="139" spans="1:6" x14ac:dyDescent="0.25">
      <c r="A139" s="7">
        <v>46108.462499942128</v>
      </c>
      <c r="B139" s="10">
        <v>27.8</v>
      </c>
      <c r="C139" s="10">
        <v>23.2</v>
      </c>
      <c r="D139" s="19">
        <v>1007.6</v>
      </c>
      <c r="E139">
        <f t="shared" si="12"/>
        <v>37.432020865905031</v>
      </c>
      <c r="F139">
        <f t="shared" si="13"/>
        <v>6.2542607043511937</v>
      </c>
    </row>
    <row r="140" spans="1:6" x14ac:dyDescent="0.25">
      <c r="A140" s="7">
        <v>46108.504166608793</v>
      </c>
      <c r="B140" s="10">
        <v>31.2</v>
      </c>
      <c r="C140" s="10">
        <v>19.600000000000001</v>
      </c>
      <c r="D140" s="19">
        <v>1007.2</v>
      </c>
      <c r="E140">
        <f t="shared" si="12"/>
        <v>45.550428831921494</v>
      </c>
      <c r="F140">
        <f t="shared" si="13"/>
        <v>6.3579089509643856</v>
      </c>
    </row>
    <row r="141" spans="1:6" x14ac:dyDescent="0.25">
      <c r="A141" s="7">
        <v>46108.545833275464</v>
      </c>
      <c r="B141" s="10">
        <v>33.700000000000003</v>
      </c>
      <c r="C141" s="10">
        <v>17.7</v>
      </c>
      <c r="D141" s="19">
        <v>1006.8</v>
      </c>
      <c r="E141">
        <f t="shared" si="12"/>
        <v>52.461600409940026</v>
      </c>
      <c r="F141">
        <f t="shared" si="13"/>
        <v>6.5588506674092271</v>
      </c>
    </row>
    <row r="142" spans="1:6" x14ac:dyDescent="0.25">
      <c r="A142" s="7">
        <v>46108.587499942128</v>
      </c>
      <c r="B142" s="10">
        <v>29.9</v>
      </c>
      <c r="C142" s="10">
        <v>23</v>
      </c>
      <c r="D142" s="19">
        <v>1006.3</v>
      </c>
      <c r="E142">
        <f t="shared" si="12"/>
        <v>42.281224402778214</v>
      </c>
      <c r="F142">
        <f t="shared" si="13"/>
        <v>6.9550486478250289</v>
      </c>
    </row>
    <row r="143" spans="1:6" x14ac:dyDescent="0.25">
      <c r="A143" s="7">
        <v>46108.629166608793</v>
      </c>
      <c r="B143" s="10">
        <v>34.700000000000003</v>
      </c>
      <c r="C143" s="10">
        <v>17.399999999999999</v>
      </c>
      <c r="D143" s="19">
        <v>1005.7</v>
      </c>
      <c r="E143">
        <f t="shared" si="12"/>
        <v>55.47182206511382</v>
      </c>
      <c r="F143">
        <f t="shared" si="13"/>
        <v>6.7955027198451914</v>
      </c>
    </row>
    <row r="144" spans="1:6" x14ac:dyDescent="0.25">
      <c r="A144" s="7">
        <v>46108.670833275464</v>
      </c>
      <c r="B144" s="10">
        <v>33</v>
      </c>
      <c r="C144" s="10">
        <v>18.899999999999999</v>
      </c>
      <c r="D144" s="19">
        <v>1005.4</v>
      </c>
      <c r="E144">
        <f t="shared" si="12"/>
        <v>50.44006331663801</v>
      </c>
      <c r="F144">
        <f t="shared" si="13"/>
        <v>6.7490435802511684</v>
      </c>
    </row>
    <row r="145" spans="1:6" x14ac:dyDescent="0.25">
      <c r="A145" s="7">
        <v>46108.712499942128</v>
      </c>
      <c r="B145" s="10">
        <v>31.9</v>
      </c>
      <c r="C145" s="10">
        <v>26.6</v>
      </c>
      <c r="D145" s="19">
        <v>1005.5</v>
      </c>
      <c r="E145">
        <f t="shared" si="12"/>
        <v>47.400451781609789</v>
      </c>
      <c r="F145">
        <f t="shared" si="13"/>
        <v>8.9584352155150473</v>
      </c>
    </row>
    <row r="146" spans="1:6" x14ac:dyDescent="0.25">
      <c r="A146" s="7">
        <v>46108.754166608793</v>
      </c>
      <c r="B146" s="10">
        <v>23.3</v>
      </c>
      <c r="C146" s="10">
        <v>41.1</v>
      </c>
      <c r="D146" s="19">
        <v>1005.9</v>
      </c>
      <c r="E146">
        <f t="shared" si="12"/>
        <v>28.646564355441249</v>
      </c>
      <c r="F146">
        <f t="shared" si="13"/>
        <v>8.6079944790073082</v>
      </c>
    </row>
    <row r="147" spans="1:6" x14ac:dyDescent="0.25">
      <c r="A147" s="7">
        <v>46108.796527777777</v>
      </c>
      <c r="B147" s="10">
        <v>18.3</v>
      </c>
      <c r="C147" s="10">
        <v>50.1</v>
      </c>
      <c r="D147" s="19">
        <v>1006.3</v>
      </c>
      <c r="E147">
        <f t="shared" ref="E147:E154" si="14">6.122*EXP((17.67*B147)/(B147+243.5))</f>
        <v>21.052808875490925</v>
      </c>
      <c r="F147">
        <f t="shared" ref="F147:F154" si="15">E147*C147*2.1674/(273.15+B147)</f>
        <v>7.8437326595732575</v>
      </c>
    </row>
    <row r="148" spans="1:6" x14ac:dyDescent="0.25">
      <c r="A148" s="7">
        <v>46108.838194444441</v>
      </c>
      <c r="B148" s="10">
        <v>16.899999999999999</v>
      </c>
      <c r="C148" s="10">
        <v>50.2</v>
      </c>
      <c r="D148" s="19">
        <v>1006.7</v>
      </c>
      <c r="E148">
        <f t="shared" si="14"/>
        <v>19.27241029554142</v>
      </c>
      <c r="F148">
        <f t="shared" si="15"/>
        <v>7.2294615002335316</v>
      </c>
    </row>
    <row r="149" spans="1:6" x14ac:dyDescent="0.25">
      <c r="A149" s="7">
        <v>46108.879861053239</v>
      </c>
      <c r="B149" s="10">
        <v>15.3</v>
      </c>
      <c r="C149" s="10">
        <v>54.7</v>
      </c>
      <c r="D149" s="19">
        <v>1007.4</v>
      </c>
      <c r="E149">
        <f t="shared" si="14"/>
        <v>17.400897088431293</v>
      </c>
      <c r="F149">
        <f t="shared" si="15"/>
        <v>7.1519997500980752</v>
      </c>
    </row>
    <row r="150" spans="1:6" x14ac:dyDescent="0.25">
      <c r="A150" s="7">
        <v>46108.921527719911</v>
      </c>
      <c r="B150" s="10">
        <v>15.9</v>
      </c>
      <c r="C150" s="10">
        <v>52</v>
      </c>
      <c r="D150" s="19">
        <v>1008</v>
      </c>
      <c r="E150">
        <f t="shared" si="14"/>
        <v>18.08308074553138</v>
      </c>
      <c r="F150">
        <f t="shared" si="15"/>
        <v>7.0508562491228703</v>
      </c>
    </row>
    <row r="151" spans="1:6" x14ac:dyDescent="0.25">
      <c r="A151" s="7">
        <v>46108.963194386575</v>
      </c>
      <c r="B151" s="10">
        <v>15.8</v>
      </c>
      <c r="C151" s="10">
        <v>51.1</v>
      </c>
      <c r="D151" s="19">
        <v>1008.2</v>
      </c>
      <c r="E151">
        <f t="shared" si="14"/>
        <v>17.967776010997483</v>
      </c>
      <c r="F151">
        <f t="shared" si="15"/>
        <v>6.8870239827328499</v>
      </c>
    </row>
    <row r="152" spans="1:6" x14ac:dyDescent="0.25">
      <c r="A152" s="7">
        <v>46109.004861053239</v>
      </c>
      <c r="B152" s="10">
        <v>15.6</v>
      </c>
      <c r="C152" s="10">
        <v>51.7</v>
      </c>
      <c r="D152" s="19">
        <v>1008.3</v>
      </c>
      <c r="E152">
        <f t="shared" si="14"/>
        <v>17.739104763293774</v>
      </c>
      <c r="F152">
        <f t="shared" si="15"/>
        <v>6.8839755284047914</v>
      </c>
    </row>
    <row r="153" spans="1:6" x14ac:dyDescent="0.25">
      <c r="A153" s="7">
        <v>46109.045833217591</v>
      </c>
      <c r="B153" s="10">
        <v>14.8</v>
      </c>
      <c r="C153" s="10">
        <v>52.2</v>
      </c>
      <c r="D153" s="19">
        <v>1008.7</v>
      </c>
      <c r="E153">
        <f t="shared" si="14"/>
        <v>16.849811660463228</v>
      </c>
      <c r="F153">
        <f t="shared" si="15"/>
        <v>6.6204504587211455</v>
      </c>
    </row>
    <row r="154" spans="1:6" x14ac:dyDescent="0.25">
      <c r="A154" s="7">
        <v>46109.087499884263</v>
      </c>
      <c r="B154" s="10">
        <v>13.3</v>
      </c>
      <c r="C154" s="10">
        <v>56.2</v>
      </c>
      <c r="D154" s="19">
        <v>1008.6</v>
      </c>
      <c r="E154">
        <f t="shared" si="14"/>
        <v>15.287579627731787</v>
      </c>
      <c r="F154">
        <f t="shared" si="15"/>
        <v>6.5007773251359708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1E40-FD59-4785-B74C-CC532BC63CBD}">
  <dimension ref="A1:AD136"/>
  <sheetViews>
    <sheetView zoomScale="70" zoomScaleNormal="70" workbookViewId="0">
      <selection activeCell="AR238" sqref="AR238"/>
    </sheetView>
  </sheetViews>
  <sheetFormatPr defaultRowHeight="14.3" x14ac:dyDescent="0.25"/>
  <cols>
    <col min="1" max="1" width="19.875" style="6" bestFit="1" customWidth="1"/>
    <col min="2" max="2" width="8.625" customWidth="1"/>
    <col min="17" max="17" width="9.125" customWidth="1"/>
    <col min="30" max="30" width="9" customWidth="1"/>
  </cols>
  <sheetData>
    <row r="1" spans="1:30" x14ac:dyDescent="0.25">
      <c r="A1" s="8" t="s">
        <v>17</v>
      </c>
      <c r="B1" s="1" t="s">
        <v>9</v>
      </c>
      <c r="C1" t="s">
        <v>29</v>
      </c>
      <c r="D1" s="23" t="s">
        <v>34</v>
      </c>
      <c r="E1" s="23" t="s">
        <v>41</v>
      </c>
      <c r="G1" t="s">
        <v>30</v>
      </c>
      <c r="H1" s="23" t="s">
        <v>35</v>
      </c>
      <c r="I1" s="23" t="s">
        <v>42</v>
      </c>
      <c r="K1" t="s">
        <v>31</v>
      </c>
      <c r="L1" s="23" t="s">
        <v>36</v>
      </c>
      <c r="M1" s="23" t="s">
        <v>46</v>
      </c>
      <c r="O1" t="s">
        <v>32</v>
      </c>
      <c r="P1" s="23" t="s">
        <v>37</v>
      </c>
      <c r="Q1" s="23" t="s">
        <v>43</v>
      </c>
      <c r="S1" t="s">
        <v>33</v>
      </c>
      <c r="T1" s="23" t="s">
        <v>38</v>
      </c>
      <c r="U1" s="23" t="s">
        <v>44</v>
      </c>
      <c r="W1" s="23" t="s">
        <v>39</v>
      </c>
      <c r="X1" s="23" t="s">
        <v>40</v>
      </c>
      <c r="Y1" s="23" t="s">
        <v>45</v>
      </c>
    </row>
    <row r="2" spans="1:30" x14ac:dyDescent="0.25">
      <c r="A2" s="7">
        <v>46102.577777777777</v>
      </c>
      <c r="B2" s="1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AA2" t="s">
        <v>25</v>
      </c>
    </row>
    <row r="3" spans="1:30" x14ac:dyDescent="0.25">
      <c r="A3" s="7">
        <v>46102.619444444441</v>
      </c>
      <c r="B3" s="1">
        <v>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AA3" t="s">
        <v>22</v>
      </c>
      <c r="AB3" t="s">
        <v>23</v>
      </c>
      <c r="AC3" t="s">
        <v>24</v>
      </c>
      <c r="AD3" t="s">
        <v>25</v>
      </c>
    </row>
    <row r="4" spans="1:30" x14ac:dyDescent="0.25">
      <c r="A4" s="7">
        <v>46102.661111053239</v>
      </c>
      <c r="B4" s="1">
        <v>409.4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AA4">
        <v>8.0799999999999997E-2</v>
      </c>
      <c r="AB4">
        <v>0.372</v>
      </c>
      <c r="AC4">
        <v>0.115</v>
      </c>
      <c r="AD4">
        <v>261.95231492034912</v>
      </c>
    </row>
    <row r="5" spans="1:30" x14ac:dyDescent="0.25">
      <c r="A5" s="7">
        <v>46102.702777719911</v>
      </c>
      <c r="B5" s="1">
        <v>229.7</v>
      </c>
      <c r="C5">
        <f>AVERAGE(B2:B5)</f>
        <v>159.77499999999998</v>
      </c>
      <c r="D5">
        <f t="shared" ref="D5:D36" si="0">(($AA$4/((C5/$AD$4)-$AB$4))-$AC$4)*100</f>
        <v>22.458246927837244</v>
      </c>
      <c r="E5">
        <v>14.709094446912241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30" x14ac:dyDescent="0.25">
      <c r="A6" s="7">
        <v>46102.744444386575</v>
      </c>
      <c r="B6" s="1">
        <v>227.7</v>
      </c>
      <c r="C6">
        <f t="shared" ref="C6:C69" si="1">AVERAGE(B3:B6)</f>
        <v>216.7</v>
      </c>
      <c r="D6">
        <f t="shared" si="0"/>
        <v>6.2484976569603434</v>
      </c>
      <c r="E6">
        <v>-33.977295857428949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AA6" t="s">
        <v>22</v>
      </c>
      <c r="AB6" t="s">
        <v>23</v>
      </c>
      <c r="AC6" t="s">
        <v>26</v>
      </c>
    </row>
    <row r="7" spans="1:30" x14ac:dyDescent="0.25">
      <c r="A7" s="7">
        <v>46102.786111053239</v>
      </c>
      <c r="B7" s="1">
        <v>172.8</v>
      </c>
      <c r="C7">
        <f t="shared" si="1"/>
        <v>259.89999999999998</v>
      </c>
      <c r="D7">
        <f t="shared" si="0"/>
        <v>1.5287841913909874</v>
      </c>
      <c r="E7">
        <v>-39.472324388463946</v>
      </c>
      <c r="G7">
        <f>AVERAGE(B2:B7)</f>
        <v>173.26666666666665</v>
      </c>
      <c r="H7">
        <f t="shared" ref="H7:H38" si="2">(($AA$4/((G7/$AD$4)-$AB$4))-$AC$4)*100</f>
        <v>16.415634190343205</v>
      </c>
      <c r="I7">
        <v>13.235131359945429</v>
      </c>
      <c r="K7" s="22"/>
      <c r="L7" s="22"/>
      <c r="M7" s="22"/>
      <c r="N7" s="22"/>
      <c r="O7" s="22"/>
      <c r="P7" s="22"/>
      <c r="Q7" s="22"/>
      <c r="R7" s="22"/>
      <c r="S7" s="22"/>
      <c r="AA7">
        <v>-0.115</v>
      </c>
      <c r="AB7">
        <v>0.34617251982521446</v>
      </c>
      <c r="AC7">
        <v>281.49623545962385</v>
      </c>
    </row>
    <row r="8" spans="1:30" x14ac:dyDescent="0.25">
      <c r="A8" s="7">
        <v>46102.828472222223</v>
      </c>
      <c r="B8" s="1">
        <v>153</v>
      </c>
      <c r="C8">
        <f t="shared" si="1"/>
        <v>195.8</v>
      </c>
      <c r="D8">
        <f t="shared" si="0"/>
        <v>10.020022820813999</v>
      </c>
      <c r="E8">
        <v>-28.95904677184587</v>
      </c>
      <c r="G8">
        <f t="shared" ref="G8:G71" si="3">AVERAGE(B3:B8)</f>
        <v>198.76666666666665</v>
      </c>
      <c r="H8">
        <f t="shared" si="2"/>
        <v>9.3899154496177211</v>
      </c>
      <c r="I8">
        <v>-29.473360162990542</v>
      </c>
      <c r="K8" s="22"/>
      <c r="L8" s="22"/>
      <c r="M8" s="22"/>
      <c r="N8" s="22"/>
      <c r="O8" s="22"/>
      <c r="P8" s="22"/>
      <c r="Q8" s="22"/>
      <c r="R8" s="22"/>
      <c r="S8" s="22"/>
    </row>
    <row r="9" spans="1:30" x14ac:dyDescent="0.25">
      <c r="A9" s="7">
        <v>46102.870138888888</v>
      </c>
      <c r="B9" s="1">
        <v>156.6</v>
      </c>
      <c r="C9">
        <f t="shared" si="1"/>
        <v>177.52500000000001</v>
      </c>
      <c r="D9">
        <f t="shared" si="0"/>
        <v>14.931169308633502</v>
      </c>
      <c r="E9">
        <v>12.782027036049531</v>
      </c>
      <c r="G9">
        <f t="shared" si="3"/>
        <v>224.86666666666665</v>
      </c>
      <c r="H9">
        <f t="shared" si="2"/>
        <v>5.1109556470193152</v>
      </c>
      <c r="I9">
        <v>-33.5811161922867</v>
      </c>
      <c r="K9">
        <f>AVERAGE(B2:B9)</f>
        <v>168.64999999999998</v>
      </c>
      <c r="L9">
        <f t="shared" ref="L9:L40" si="4">(($AA$4/((K9/$AD$4)-$AB$4))-$AC$4)*100</f>
        <v>18.225611867464693</v>
      </c>
      <c r="M9">
        <v>15.076285698191299</v>
      </c>
      <c r="O9" s="22"/>
      <c r="P9" s="22"/>
      <c r="Q9" s="22"/>
      <c r="R9" s="22"/>
      <c r="S9" s="22"/>
    </row>
    <row r="10" spans="1:30" x14ac:dyDescent="0.25">
      <c r="A10" s="7">
        <v>46102.911805439813</v>
      </c>
      <c r="B10" s="1">
        <v>160.19999999999999</v>
      </c>
      <c r="C10">
        <f t="shared" si="1"/>
        <v>160.64999999999998</v>
      </c>
      <c r="D10">
        <f t="shared" si="0"/>
        <v>21.98812496032912</v>
      </c>
      <c r="E10">
        <v>17.84550770354241</v>
      </c>
      <c r="G10">
        <f>AVERAGE(B5:B10)</f>
        <v>183.33333333333334</v>
      </c>
      <c r="H10">
        <f t="shared" si="2"/>
        <v>13.143693756931491</v>
      </c>
      <c r="I10">
        <v>-26.414754601796041</v>
      </c>
      <c r="K10">
        <f t="shared" ref="K10:K73" si="5">AVERAGE(B3:B10)</f>
        <v>188.67499999999998</v>
      </c>
      <c r="L10">
        <f t="shared" si="4"/>
        <v>11.700744976263612</v>
      </c>
      <c r="M10">
        <v>-27.352533225780828</v>
      </c>
      <c r="O10" s="22"/>
      <c r="P10" s="22"/>
      <c r="Q10" s="22"/>
      <c r="R10" s="22"/>
      <c r="S10" s="22"/>
    </row>
    <row r="11" spans="1:30" x14ac:dyDescent="0.25">
      <c r="A11" s="7">
        <v>46102.953472048612</v>
      </c>
      <c r="B11" s="1">
        <v>127.8</v>
      </c>
      <c r="C11">
        <f t="shared" si="1"/>
        <v>149.4</v>
      </c>
      <c r="D11">
        <f t="shared" si="0"/>
        <v>29.239603182023711</v>
      </c>
      <c r="E11">
        <v>22.761285961447768</v>
      </c>
      <c r="G11">
        <f t="shared" si="3"/>
        <v>166.35</v>
      </c>
      <c r="H11">
        <f t="shared" si="2"/>
        <v>19.217849856819235</v>
      </c>
      <c r="I11">
        <v>15.996832682749721</v>
      </c>
      <c r="K11">
        <f t="shared" si="5"/>
        <v>204.64999999999998</v>
      </c>
      <c r="L11">
        <f t="shared" si="4"/>
        <v>8.2434784203305238</v>
      </c>
      <c r="M11">
        <v>-30.049654155620491</v>
      </c>
      <c r="O11">
        <f>AVERAGE(B2:B11)</f>
        <v>163.71999999999997</v>
      </c>
      <c r="P11">
        <f t="shared" ref="P11:P42" si="6">(($AA$4/((O11/$AD$4)-$AB$4))-$AC$4)*100</f>
        <v>20.436853741702464</v>
      </c>
      <c r="Q11">
        <v>16.846100422861181</v>
      </c>
      <c r="S11" s="22"/>
    </row>
    <row r="12" spans="1:30" x14ac:dyDescent="0.25">
      <c r="A12" s="7">
        <v>46102.99513865741</v>
      </c>
      <c r="B12" s="1">
        <v>155.30000000000001</v>
      </c>
      <c r="C12">
        <f t="shared" si="1"/>
        <v>149.97499999999999</v>
      </c>
      <c r="D12">
        <f t="shared" si="0"/>
        <v>28.793651644966616</v>
      </c>
      <c r="E12">
        <v>22.56455974898137</v>
      </c>
      <c r="G12">
        <f t="shared" si="3"/>
        <v>154.2833333333333</v>
      </c>
      <c r="H12">
        <f t="shared" si="2"/>
        <v>25.73933382323046</v>
      </c>
      <c r="I12">
        <v>20.543170945674529</v>
      </c>
      <c r="K12">
        <f t="shared" si="5"/>
        <v>172.88749999999999</v>
      </c>
      <c r="L12">
        <f t="shared" si="4"/>
        <v>16.5559377978295</v>
      </c>
      <c r="M12">
        <v>14.181087449357479</v>
      </c>
      <c r="O12">
        <f>AVERAGE(B3:B12)</f>
        <v>179.24999999999997</v>
      </c>
      <c r="P12">
        <f t="shared" si="6"/>
        <v>14.373813768427674</v>
      </c>
      <c r="Q12">
        <v>12.62660483395476</v>
      </c>
      <c r="S12" s="22"/>
    </row>
    <row r="13" spans="1:30" x14ac:dyDescent="0.25">
      <c r="A13" s="7">
        <v>46103.036805266202</v>
      </c>
      <c r="B13" s="1">
        <v>120.3</v>
      </c>
      <c r="C13">
        <f t="shared" si="1"/>
        <v>140.9</v>
      </c>
      <c r="D13">
        <f t="shared" si="0"/>
        <v>37.20869022066757</v>
      </c>
      <c r="E13">
        <v>27.92656918176651</v>
      </c>
      <c r="G13">
        <f t="shared" si="3"/>
        <v>145.53333333333333</v>
      </c>
      <c r="H13">
        <f t="shared" si="2"/>
        <v>32.515462128848256</v>
      </c>
      <c r="I13">
        <v>25.018709077111168</v>
      </c>
      <c r="K13">
        <f t="shared" si="5"/>
        <v>159.21249999999998</v>
      </c>
      <c r="L13">
        <f t="shared" si="4"/>
        <v>22.767501858243662</v>
      </c>
      <c r="M13">
        <v>18.573512508414669</v>
      </c>
      <c r="O13">
        <f t="shared" ref="O13:O76" si="7">AVERAGE(B4:B13)</f>
        <v>191.27999999999997</v>
      </c>
      <c r="P13">
        <f t="shared" si="6"/>
        <v>11.056648925055219</v>
      </c>
      <c r="Q13">
        <v>-27.667609610903181</v>
      </c>
      <c r="S13">
        <f>AVERAGE(B2:B12)</f>
        <v>162.95454545454544</v>
      </c>
      <c r="T13">
        <f t="shared" ref="T13:T44" si="8">(($AA$4/((S13/$AD$4)-$AB$4))-$AC$4)*100</f>
        <v>20.810031121079263</v>
      </c>
      <c r="U13">
        <v>17.217506983838827</v>
      </c>
    </row>
    <row r="14" spans="1:30" x14ac:dyDescent="0.25">
      <c r="A14" s="7">
        <v>46103.078471875</v>
      </c>
      <c r="B14" s="1">
        <v>107.1</v>
      </c>
      <c r="C14">
        <f t="shared" si="1"/>
        <v>127.625</v>
      </c>
      <c r="D14">
        <f t="shared" si="0"/>
        <v>58.63463071146068</v>
      </c>
      <c r="E14">
        <v>39.494659290817339</v>
      </c>
      <c r="G14">
        <f t="shared" si="3"/>
        <v>137.88333333333333</v>
      </c>
      <c r="H14">
        <f t="shared" si="2"/>
        <v>40.842432087557413</v>
      </c>
      <c r="I14">
        <v>29.904934402932849</v>
      </c>
      <c r="K14">
        <f t="shared" si="5"/>
        <v>144.13749999999996</v>
      </c>
      <c r="L14">
        <f t="shared" si="4"/>
        <v>33.831303188867714</v>
      </c>
      <c r="M14">
        <v>25.688251160102531</v>
      </c>
      <c r="O14">
        <f t="shared" si="7"/>
        <v>161.04999999999998</v>
      </c>
      <c r="P14">
        <f t="shared" si="6"/>
        <v>21.777520203023876</v>
      </c>
      <c r="Q14">
        <v>17.782728338201409</v>
      </c>
      <c r="S14">
        <f t="shared" ref="S14:S77" si="9">AVERAGE(B3:B13)</f>
        <v>173.89090909090908</v>
      </c>
      <c r="T14">
        <f t="shared" si="8"/>
        <v>16.187676790698962</v>
      </c>
      <c r="U14">
        <v>13.871024194780921</v>
      </c>
    </row>
    <row r="15" spans="1:30" x14ac:dyDescent="0.25">
      <c r="A15" s="7">
        <v>46103.120138483799</v>
      </c>
      <c r="B15" s="1">
        <v>105.9</v>
      </c>
      <c r="C15">
        <f t="shared" si="1"/>
        <v>122.15</v>
      </c>
      <c r="D15">
        <f t="shared" si="0"/>
        <v>74.178314421952805</v>
      </c>
      <c r="E15">
        <v>46.774782666196877</v>
      </c>
      <c r="G15">
        <f t="shared" si="3"/>
        <v>129.43333333333334</v>
      </c>
      <c r="H15">
        <f t="shared" si="2"/>
        <v>54.669691694500344</v>
      </c>
      <c r="I15">
        <v>37.425373074403687</v>
      </c>
      <c r="K15">
        <f t="shared" si="5"/>
        <v>135.77500000000001</v>
      </c>
      <c r="L15">
        <f t="shared" si="4"/>
        <v>43.721610939511656</v>
      </c>
      <c r="M15">
        <v>31.514977518890642</v>
      </c>
      <c r="O15">
        <f t="shared" si="7"/>
        <v>148.66999999999999</v>
      </c>
      <c r="P15">
        <f t="shared" si="6"/>
        <v>29.820191616034375</v>
      </c>
      <c r="Q15">
        <v>23.11825408526385</v>
      </c>
      <c r="S15">
        <f t="shared" si="9"/>
        <v>183.6272727272727</v>
      </c>
      <c r="T15">
        <f t="shared" si="8"/>
        <v>13.059640990843036</v>
      </c>
      <c r="U15">
        <v>-26.424744764046171</v>
      </c>
    </row>
    <row r="16" spans="1:30" x14ac:dyDescent="0.25">
      <c r="A16" s="7">
        <v>46103.16180509259</v>
      </c>
      <c r="B16" s="1">
        <v>114.1</v>
      </c>
      <c r="C16">
        <f t="shared" si="1"/>
        <v>111.85</v>
      </c>
      <c r="D16">
        <f t="shared" si="0"/>
        <v>135.44620102826789</v>
      </c>
      <c r="E16">
        <v>70.678587841337162</v>
      </c>
      <c r="G16">
        <f t="shared" si="3"/>
        <v>121.75</v>
      </c>
      <c r="H16">
        <f t="shared" si="2"/>
        <v>75.588440081252458</v>
      </c>
      <c r="I16">
        <v>47.569573228413994</v>
      </c>
      <c r="K16">
        <f t="shared" si="5"/>
        <v>130.91249999999999</v>
      </c>
      <c r="L16">
        <f t="shared" si="4"/>
        <v>51.745072566014208</v>
      </c>
      <c r="M16">
        <v>36.014468430862415</v>
      </c>
      <c r="O16">
        <f t="shared" si="7"/>
        <v>137.30999999999997</v>
      </c>
      <c r="P16">
        <f t="shared" si="6"/>
        <v>41.595238069372932</v>
      </c>
      <c r="Q16">
        <v>30.39286985839556</v>
      </c>
      <c r="S16">
        <f t="shared" si="9"/>
        <v>156.03636363636363</v>
      </c>
      <c r="T16">
        <f t="shared" si="8"/>
        <v>24.625123779436947</v>
      </c>
      <c r="U16">
        <v>19.755220342261659</v>
      </c>
    </row>
    <row r="17" spans="1:25" x14ac:dyDescent="0.25">
      <c r="A17" s="7">
        <v>46103.203471701388</v>
      </c>
      <c r="B17" s="1">
        <v>163.4</v>
      </c>
      <c r="C17">
        <f t="shared" si="1"/>
        <v>122.625</v>
      </c>
      <c r="D17">
        <f t="shared" si="0"/>
        <v>72.561982500267803</v>
      </c>
      <c r="E17">
        <v>46.374178095716061</v>
      </c>
      <c r="G17">
        <f t="shared" si="3"/>
        <v>127.68333333333334</v>
      </c>
      <c r="H17">
        <f t="shared" si="2"/>
        <v>58.499327042945879</v>
      </c>
      <c r="I17">
        <v>39.631845341806901</v>
      </c>
      <c r="K17">
        <f t="shared" si="5"/>
        <v>131.76250000000002</v>
      </c>
      <c r="L17">
        <f t="shared" si="4"/>
        <v>50.178516513159011</v>
      </c>
      <c r="M17">
        <v>35.294610453189378</v>
      </c>
      <c r="O17">
        <f t="shared" si="7"/>
        <v>136.37</v>
      </c>
      <c r="P17">
        <f t="shared" si="6"/>
        <v>42.877476756103903</v>
      </c>
      <c r="Q17">
        <v>31.231305928420177</v>
      </c>
      <c r="S17">
        <f t="shared" si="9"/>
        <v>145.5272727272727</v>
      </c>
      <c r="T17">
        <f t="shared" si="8"/>
        <v>32.521010272861687</v>
      </c>
      <c r="U17">
        <v>24.988105219602161</v>
      </c>
    </row>
    <row r="18" spans="1:25" x14ac:dyDescent="0.25">
      <c r="A18" s="7">
        <v>46103.245138310187</v>
      </c>
      <c r="B18" s="1">
        <v>104.5</v>
      </c>
      <c r="C18">
        <f t="shared" si="1"/>
        <v>121.97499999999999</v>
      </c>
      <c r="D18">
        <f t="shared" si="0"/>
        <v>74.789585352584822</v>
      </c>
      <c r="E18">
        <v>47.629815496466023</v>
      </c>
      <c r="G18">
        <f t="shared" si="3"/>
        <v>119.21666666666665</v>
      </c>
      <c r="H18">
        <f t="shared" si="2"/>
        <v>85.72256679931877</v>
      </c>
      <c r="I18">
        <v>52.436512770523215</v>
      </c>
      <c r="K18">
        <f t="shared" si="5"/>
        <v>124.8</v>
      </c>
      <c r="L18">
        <f t="shared" si="4"/>
        <v>65.877893976093176</v>
      </c>
      <c r="M18">
        <v>43.4674410231978</v>
      </c>
      <c r="O18">
        <f t="shared" si="7"/>
        <v>131.52000000000001</v>
      </c>
      <c r="P18">
        <f t="shared" si="6"/>
        <v>50.617477447867351</v>
      </c>
      <c r="Q18">
        <v>35.697004877490201</v>
      </c>
      <c r="S18">
        <f t="shared" si="9"/>
        <v>139.68181818181816</v>
      </c>
      <c r="T18">
        <f t="shared" si="8"/>
        <v>38.613573806554399</v>
      </c>
      <c r="U18">
        <v>28.862104818023994</v>
      </c>
    </row>
    <row r="19" spans="1:25" x14ac:dyDescent="0.25">
      <c r="A19" s="7">
        <v>46103.286804918978</v>
      </c>
      <c r="B19" s="1">
        <v>137</v>
      </c>
      <c r="C19">
        <f t="shared" si="1"/>
        <v>129.75</v>
      </c>
      <c r="D19">
        <f t="shared" si="0"/>
        <v>54.02104431034477</v>
      </c>
      <c r="E19">
        <v>37.79250238926749</v>
      </c>
      <c r="G19">
        <f t="shared" si="3"/>
        <v>122</v>
      </c>
      <c r="H19">
        <f t="shared" si="2"/>
        <v>74.701727464748402</v>
      </c>
      <c r="I19">
        <v>47.981336625254521</v>
      </c>
      <c r="K19">
        <f t="shared" si="5"/>
        <v>125.95</v>
      </c>
      <c r="L19">
        <f t="shared" si="4"/>
        <v>62.756037627985975</v>
      </c>
      <c r="M19">
        <v>42.276086706195798</v>
      </c>
      <c r="O19">
        <f t="shared" si="7"/>
        <v>129.56</v>
      </c>
      <c r="P19">
        <f t="shared" si="6"/>
        <v>54.408697659500291</v>
      </c>
      <c r="Q19">
        <v>37.997864152464203</v>
      </c>
      <c r="S19">
        <f t="shared" si="9"/>
        <v>133.47272727272727</v>
      </c>
      <c r="T19">
        <f t="shared" si="8"/>
        <v>47.250550147434836</v>
      </c>
      <c r="U19">
        <v>34.099868685536258</v>
      </c>
    </row>
    <row r="20" spans="1:25" x14ac:dyDescent="0.25">
      <c r="A20" s="7">
        <v>46103.328471527777</v>
      </c>
      <c r="B20" s="1">
        <v>105.4</v>
      </c>
      <c r="C20">
        <f t="shared" si="1"/>
        <v>127.57499999999999</v>
      </c>
      <c r="D20">
        <f t="shared" si="0"/>
        <v>58.751022292040133</v>
      </c>
      <c r="E20">
        <v>39.301714415643239</v>
      </c>
      <c r="G20">
        <f t="shared" si="3"/>
        <v>121.71666666666665</v>
      </c>
      <c r="H20">
        <f t="shared" si="2"/>
        <v>75.708048630881379</v>
      </c>
      <c r="I20">
        <v>47.207219796827133</v>
      </c>
      <c r="K20">
        <f t="shared" si="5"/>
        <v>119.71249999999999</v>
      </c>
      <c r="L20">
        <f t="shared" si="4"/>
        <v>83.557576578164699</v>
      </c>
      <c r="M20">
        <v>50.576919939152084</v>
      </c>
      <c r="O20">
        <f t="shared" si="7"/>
        <v>124.08000000000001</v>
      </c>
      <c r="P20">
        <f t="shared" si="6"/>
        <v>67.969680036523044</v>
      </c>
      <c r="Q20">
        <v>43.716415890087212</v>
      </c>
      <c r="S20">
        <f t="shared" si="9"/>
        <v>132.01818181818183</v>
      </c>
      <c r="T20">
        <f t="shared" si="8"/>
        <v>49.722363804827573</v>
      </c>
      <c r="U20">
        <v>34.658685933183449</v>
      </c>
    </row>
    <row r="21" spans="1:25" x14ac:dyDescent="0.25">
      <c r="A21" s="7">
        <v>46103.370138136575</v>
      </c>
      <c r="B21" s="1">
        <v>106.6</v>
      </c>
      <c r="C21">
        <f t="shared" si="1"/>
        <v>113.375</v>
      </c>
      <c r="D21">
        <f t="shared" si="0"/>
        <v>121.37773279085229</v>
      </c>
      <c r="E21">
        <v>62.00917646542937</v>
      </c>
      <c r="G21">
        <f t="shared" si="3"/>
        <v>121.83333333333333</v>
      </c>
      <c r="H21">
        <f t="shared" si="2"/>
        <v>75.290849212109919</v>
      </c>
      <c r="I21">
        <v>45.224176548560763</v>
      </c>
      <c r="K21">
        <f t="shared" si="5"/>
        <v>118</v>
      </c>
      <c r="L21">
        <f t="shared" si="4"/>
        <v>91.477600330584607</v>
      </c>
      <c r="M21">
        <v>51.623184239653916</v>
      </c>
      <c r="O21">
        <f t="shared" si="7"/>
        <v>121.96</v>
      </c>
      <c r="P21">
        <f t="shared" si="6"/>
        <v>74.842386101920837</v>
      </c>
      <c r="Q21">
        <v>45.036970641284604</v>
      </c>
      <c r="S21">
        <f t="shared" si="9"/>
        <v>127.36363636363639</v>
      </c>
      <c r="T21">
        <f t="shared" si="8"/>
        <v>59.247339613464831</v>
      </c>
      <c r="U21">
        <v>38.124478680880792</v>
      </c>
    </row>
    <row r="22" spans="1:25" x14ac:dyDescent="0.25">
      <c r="A22" s="7">
        <v>46103.411804745374</v>
      </c>
      <c r="B22" s="1">
        <v>111.7</v>
      </c>
      <c r="C22">
        <f t="shared" si="1"/>
        <v>115.175</v>
      </c>
      <c r="D22">
        <f t="shared" si="0"/>
        <v>107.88664800178826</v>
      </c>
      <c r="E22">
        <v>53.974792657644088</v>
      </c>
      <c r="G22">
        <f t="shared" si="3"/>
        <v>121.43333333333334</v>
      </c>
      <c r="H22">
        <f t="shared" si="2"/>
        <v>76.738142963512388</v>
      </c>
      <c r="I22">
        <v>43.30119412103582</v>
      </c>
      <c r="K22">
        <f t="shared" si="5"/>
        <v>118.575</v>
      </c>
      <c r="L22">
        <f t="shared" si="4"/>
        <v>88.675155726034859</v>
      </c>
      <c r="M22">
        <v>47.657512393023218</v>
      </c>
      <c r="O22">
        <f t="shared" si="7"/>
        <v>117.6</v>
      </c>
      <c r="P22">
        <f t="shared" si="6"/>
        <v>93.521441448084758</v>
      </c>
      <c r="Q22">
        <v>49.324956062835163</v>
      </c>
      <c r="S22">
        <f t="shared" si="9"/>
        <v>122.4909090909091</v>
      </c>
      <c r="T22">
        <f t="shared" si="8"/>
        <v>73.012056611120002</v>
      </c>
      <c r="U22">
        <v>41.860308061224288</v>
      </c>
    </row>
    <row r="23" spans="1:25" x14ac:dyDescent="0.25">
      <c r="A23" s="7">
        <v>46103.453471354165</v>
      </c>
      <c r="B23" s="1">
        <v>181.5</v>
      </c>
      <c r="C23">
        <f t="shared" si="1"/>
        <v>126.3</v>
      </c>
      <c r="D23">
        <f t="shared" si="0"/>
        <v>61.855301217178429</v>
      </c>
      <c r="E23">
        <v>35.956442222834177</v>
      </c>
      <c r="G23">
        <f t="shared" si="3"/>
        <v>124.45</v>
      </c>
      <c r="H23">
        <f t="shared" si="2"/>
        <v>66.880801871271657</v>
      </c>
      <c r="I23">
        <v>37.979004780648118</v>
      </c>
      <c r="K23">
        <f t="shared" si="5"/>
        <v>128.02500000000001</v>
      </c>
      <c r="L23">
        <f t="shared" si="4"/>
        <v>57.717200714673091</v>
      </c>
      <c r="M23">
        <v>34.2202419845026</v>
      </c>
      <c r="O23">
        <f t="shared" si="7"/>
        <v>123.72</v>
      </c>
      <c r="P23">
        <f t="shared" si="6"/>
        <v>69.058565214871109</v>
      </c>
      <c r="Q23">
        <v>38.828031205645004</v>
      </c>
      <c r="S23">
        <f t="shared" si="9"/>
        <v>121.02727272727272</v>
      </c>
      <c r="T23">
        <f t="shared" si="8"/>
        <v>78.257587271173989</v>
      </c>
      <c r="U23">
        <v>42.247454879974875</v>
      </c>
    </row>
    <row r="24" spans="1:25" x14ac:dyDescent="0.25">
      <c r="A24" s="20">
        <v>46103.495137962964</v>
      </c>
      <c r="B24" s="5">
        <v>337.4</v>
      </c>
      <c r="C24">
        <f t="shared" si="1"/>
        <v>184.3</v>
      </c>
      <c r="D24">
        <f t="shared" si="0"/>
        <v>12.86941382823883</v>
      </c>
      <c r="E24">
        <v>-29.075681161874371</v>
      </c>
      <c r="G24">
        <f t="shared" si="3"/>
        <v>163.26666666666668</v>
      </c>
      <c r="H24">
        <f t="shared" si="2"/>
        <v>20.656816536664564</v>
      </c>
      <c r="I24">
        <v>14.25389437023918</v>
      </c>
      <c r="K24">
        <f t="shared" si="5"/>
        <v>155.9375</v>
      </c>
      <c r="L24">
        <f t="shared" si="4"/>
        <v>24.686183541055318</v>
      </c>
      <c r="M24">
        <v>16.54971531324659</v>
      </c>
      <c r="O24">
        <f t="shared" si="7"/>
        <v>146.75</v>
      </c>
      <c r="P24">
        <f t="shared" si="6"/>
        <v>31.429294084809545</v>
      </c>
      <c r="Q24">
        <v>20.21495440822034</v>
      </c>
      <c r="S24">
        <f t="shared" si="9"/>
        <v>123.40909090909091</v>
      </c>
      <c r="T24">
        <f t="shared" si="8"/>
        <v>70.023267079369631</v>
      </c>
      <c r="U24">
        <v>36.93210123381651</v>
      </c>
    </row>
    <row r="25" spans="1:25" x14ac:dyDescent="0.25">
      <c r="A25" s="20">
        <v>46103.536804571762</v>
      </c>
      <c r="B25" s="5">
        <v>804.7</v>
      </c>
      <c r="C25">
        <f t="shared" si="1"/>
        <v>358.82499999999999</v>
      </c>
      <c r="D25">
        <f t="shared" si="0"/>
        <v>-3.4022690450194739</v>
      </c>
      <c r="E25">
        <v>-54.130552141997498</v>
      </c>
      <c r="G25">
        <f t="shared" si="3"/>
        <v>274.55</v>
      </c>
      <c r="H25">
        <f t="shared" si="2"/>
        <v>0.45104472838655013</v>
      </c>
      <c r="I25">
        <v>-44.575574660448538</v>
      </c>
      <c r="K25">
        <f t="shared" si="5"/>
        <v>236.1</v>
      </c>
      <c r="L25">
        <f t="shared" si="4"/>
        <v>3.7651830532449209</v>
      </c>
      <c r="M25">
        <v>-39.053181282378965</v>
      </c>
      <c r="O25">
        <f t="shared" si="7"/>
        <v>216.63000000000002</v>
      </c>
      <c r="P25">
        <f t="shared" si="6"/>
        <v>6.2589218544891176</v>
      </c>
      <c r="Q25">
        <v>-35.895666208565842</v>
      </c>
      <c r="S25">
        <f t="shared" si="9"/>
        <v>143.14545454545453</v>
      </c>
      <c r="T25">
        <f t="shared" si="8"/>
        <v>34.815362423531909</v>
      </c>
      <c r="U25">
        <v>20.703184360174301</v>
      </c>
      <c r="W25">
        <f>AVERAGE(B2:B25)</f>
        <v>178.83749999999998</v>
      </c>
      <c r="X25">
        <f>(($AA$4/((W25/$AD$4)-$AB$4))-$AC$4)*100</f>
        <v>14.504945181713985</v>
      </c>
      <c r="Y25">
        <v>-29.042590413763751</v>
      </c>
    </row>
    <row r="26" spans="1:25" x14ac:dyDescent="0.25">
      <c r="A26" s="20">
        <v>46103.578471180554</v>
      </c>
      <c r="B26" s="5">
        <v>1144</v>
      </c>
      <c r="C26">
        <f t="shared" si="1"/>
        <v>616.9</v>
      </c>
      <c r="D26">
        <f t="shared" si="0"/>
        <v>-7.4253836361949448</v>
      </c>
      <c r="E26">
        <v>-184.37371539271942</v>
      </c>
      <c r="G26">
        <f t="shared" si="3"/>
        <v>447.65000000000003</v>
      </c>
      <c r="H26">
        <f t="shared" si="2"/>
        <v>-5.4561618859094141</v>
      </c>
      <c r="I26">
        <v>-67.375111485943364</v>
      </c>
      <c r="K26">
        <f t="shared" si="5"/>
        <v>366.03750000000002</v>
      </c>
      <c r="L26">
        <f t="shared" si="4"/>
        <v>-3.6197180011467989</v>
      </c>
      <c r="M26">
        <v>-55.55029519513721</v>
      </c>
      <c r="O26">
        <f t="shared" si="7"/>
        <v>319.62</v>
      </c>
      <c r="P26">
        <f t="shared" si="6"/>
        <v>-1.9733353477525806</v>
      </c>
      <c r="Q26">
        <v>-50.774751726821179</v>
      </c>
      <c r="S26">
        <f t="shared" si="9"/>
        <v>206.56363636363633</v>
      </c>
      <c r="T26">
        <f t="shared" si="8"/>
        <v>7.8972289052925122</v>
      </c>
      <c r="U26">
        <v>-34.851521095918578</v>
      </c>
      <c r="W26">
        <f t="shared" ref="W26:W89" si="10">AVERAGE(B3:B26)</f>
        <v>226.50416666666663</v>
      </c>
      <c r="X26">
        <f t="shared" ref="X26:X89" si="11">(($AA$4/((W26/$AD$4)-$AB$4))-$AC$4)*100</f>
        <v>4.9001941306040395</v>
      </c>
      <c r="Y26">
        <v>-38.237421344208713</v>
      </c>
    </row>
    <row r="27" spans="1:25" x14ac:dyDescent="0.25">
      <c r="A27" s="20">
        <v>46103.620137789352</v>
      </c>
      <c r="B27" s="5">
        <v>590.6</v>
      </c>
      <c r="C27">
        <f t="shared" si="1"/>
        <v>719.17499999999995</v>
      </c>
      <c r="D27">
        <f t="shared" si="0"/>
        <v>-8.0956621074446904</v>
      </c>
      <c r="E27">
        <v>-267.13068907344478</v>
      </c>
      <c r="G27">
        <f t="shared" si="3"/>
        <v>528.31666666666672</v>
      </c>
      <c r="H27">
        <f t="shared" si="2"/>
        <v>-6.5876767643853293</v>
      </c>
      <c r="I27">
        <v>-111.23213870745209</v>
      </c>
      <c r="K27">
        <f t="shared" si="5"/>
        <v>422.73750000000001</v>
      </c>
      <c r="L27">
        <f t="shared" si="4"/>
        <v>-4.9932932345748391</v>
      </c>
      <c r="M27">
        <v>-61.189003149983655</v>
      </c>
      <c r="O27">
        <f t="shared" si="7"/>
        <v>362.34000000000003</v>
      </c>
      <c r="P27">
        <f t="shared" si="6"/>
        <v>-3.5097216576420549</v>
      </c>
      <c r="Q27">
        <v>-54.937177663892648</v>
      </c>
      <c r="S27">
        <f t="shared" si="9"/>
        <v>300.93636363636364</v>
      </c>
      <c r="T27">
        <f t="shared" si="8"/>
        <v>-1.0986356156948498</v>
      </c>
      <c r="U27">
        <v>-48.360606698566471</v>
      </c>
      <c r="W27">
        <f t="shared" si="10"/>
        <v>251.11249999999998</v>
      </c>
      <c r="X27">
        <f t="shared" si="11"/>
        <v>2.2738433659952579</v>
      </c>
      <c r="Y27">
        <v>-41.778663198002633</v>
      </c>
    </row>
    <row r="28" spans="1:25" x14ac:dyDescent="0.25">
      <c r="A28" s="20">
        <v>46103.661804398151</v>
      </c>
      <c r="B28" s="5">
        <v>342.1</v>
      </c>
      <c r="C28">
        <f t="shared" si="1"/>
        <v>720.35</v>
      </c>
      <c r="D28">
        <f t="shared" si="0"/>
        <v>-8.1020838011579741</v>
      </c>
      <c r="E28">
        <v>-271.97789157789271</v>
      </c>
      <c r="G28">
        <f t="shared" si="3"/>
        <v>566.71666666666658</v>
      </c>
      <c r="H28">
        <f t="shared" si="2"/>
        <v>-6.9896480159925281</v>
      </c>
      <c r="I28">
        <v>-143.7609452081021</v>
      </c>
      <c r="K28">
        <f t="shared" si="5"/>
        <v>452.32499999999999</v>
      </c>
      <c r="L28">
        <f t="shared" si="4"/>
        <v>-5.5357804713309147</v>
      </c>
      <c r="M28">
        <v>-69.158773479814656</v>
      </c>
      <c r="O28">
        <f t="shared" si="7"/>
        <v>386.1</v>
      </c>
      <c r="P28">
        <f t="shared" si="6"/>
        <v>-4.1674266787896386</v>
      </c>
      <c r="Q28">
        <v>-57.498069610436062</v>
      </c>
      <c r="S28">
        <f t="shared" si="9"/>
        <v>344.25454545454545</v>
      </c>
      <c r="T28">
        <f t="shared" si="8"/>
        <v>-2.9242153154475301</v>
      </c>
      <c r="U28">
        <v>-53.478736085290244</v>
      </c>
      <c r="W28">
        <f t="shared" si="10"/>
        <v>248.30833333333337</v>
      </c>
      <c r="X28">
        <f t="shared" si="11"/>
        <v>2.5298663138437303</v>
      </c>
      <c r="Y28">
        <v>-41.698068447359013</v>
      </c>
    </row>
    <row r="29" spans="1:25" x14ac:dyDescent="0.25">
      <c r="A29" s="7">
        <v>46103.703471006942</v>
      </c>
      <c r="B29" s="1">
        <v>232.7</v>
      </c>
      <c r="C29">
        <f t="shared" si="1"/>
        <v>577.34999999999991</v>
      </c>
      <c r="D29">
        <f t="shared" si="0"/>
        <v>-7.089584882939171</v>
      </c>
      <c r="E29">
        <v>-148.8691704500043</v>
      </c>
      <c r="G29">
        <f t="shared" si="3"/>
        <v>575.24999999999989</v>
      </c>
      <c r="H29">
        <f t="shared" si="2"/>
        <v>-7.0702006232677697</v>
      </c>
      <c r="I29">
        <v>-147.17567453885269</v>
      </c>
      <c r="K29">
        <f t="shared" si="5"/>
        <v>468.08749999999998</v>
      </c>
      <c r="L29">
        <f t="shared" si="4"/>
        <v>-5.7894246977867478</v>
      </c>
      <c r="M29">
        <v>-73.983911543938746</v>
      </c>
      <c r="O29">
        <f t="shared" si="7"/>
        <v>395.66999999999996</v>
      </c>
      <c r="P29">
        <f t="shared" si="6"/>
        <v>-4.4027289620842822</v>
      </c>
      <c r="Q29">
        <v>-57.978102880969338</v>
      </c>
      <c r="S29">
        <f t="shared" si="9"/>
        <v>360.5</v>
      </c>
      <c r="T29">
        <f t="shared" si="8"/>
        <v>-3.4538315105784436</v>
      </c>
      <c r="U29">
        <v>-54.694271142255104</v>
      </c>
      <c r="W29">
        <f t="shared" si="10"/>
        <v>248.43333333333337</v>
      </c>
      <c r="X29">
        <f t="shared" si="11"/>
        <v>2.5182511916754873</v>
      </c>
      <c r="Y29">
        <v>-41.320205199789449</v>
      </c>
    </row>
    <row r="30" spans="1:25" x14ac:dyDescent="0.25">
      <c r="A30" s="7">
        <v>46103.745137615741</v>
      </c>
      <c r="B30" s="1">
        <v>189.3</v>
      </c>
      <c r="C30">
        <f t="shared" si="1"/>
        <v>338.67500000000001</v>
      </c>
      <c r="D30">
        <f t="shared" si="0"/>
        <v>-2.7258600917538818</v>
      </c>
      <c r="E30">
        <v>-50.573088421465876</v>
      </c>
      <c r="G30">
        <f t="shared" si="3"/>
        <v>550.56666666666672</v>
      </c>
      <c r="H30">
        <f t="shared" si="2"/>
        <v>-6.828891220105743</v>
      </c>
      <c r="I30">
        <v>-111.7884817450103</v>
      </c>
      <c r="K30">
        <f t="shared" si="5"/>
        <v>477.78749999999997</v>
      </c>
      <c r="L30">
        <f t="shared" si="4"/>
        <v>-5.935063862761357</v>
      </c>
      <c r="M30">
        <v>-70.277718288648131</v>
      </c>
      <c r="O30">
        <f t="shared" si="7"/>
        <v>404.06</v>
      </c>
      <c r="P30">
        <f t="shared" si="6"/>
        <v>-4.5969345584529284</v>
      </c>
      <c r="Q30">
        <v>-56.749670344104828</v>
      </c>
      <c r="S30">
        <f t="shared" si="9"/>
        <v>372.15454545454543</v>
      </c>
      <c r="T30">
        <f t="shared" si="8"/>
        <v>-3.7951915705141017</v>
      </c>
      <c r="U30">
        <v>-53.878402819057278</v>
      </c>
      <c r="W30">
        <f t="shared" si="10"/>
        <v>246.83333333333337</v>
      </c>
      <c r="X30">
        <f t="shared" si="11"/>
        <v>2.6683927104757905</v>
      </c>
      <c r="Y30">
        <v>-39.171608665762207</v>
      </c>
    </row>
    <row r="31" spans="1:25" x14ac:dyDescent="0.25">
      <c r="A31" s="7">
        <v>46103.786804224539</v>
      </c>
      <c r="B31" s="1">
        <v>147.69999999999999</v>
      </c>
      <c r="C31">
        <f t="shared" si="1"/>
        <v>227.95</v>
      </c>
      <c r="D31">
        <f t="shared" si="0"/>
        <v>4.7184985902602739</v>
      </c>
      <c r="E31">
        <v>-35.329910090250635</v>
      </c>
      <c r="G31">
        <f t="shared" si="3"/>
        <v>441.06666666666661</v>
      </c>
      <c r="H31">
        <f t="shared" si="2"/>
        <v>-5.3403695747456457</v>
      </c>
      <c r="I31">
        <v>-59.355283576688997</v>
      </c>
      <c r="K31">
        <f t="shared" si="5"/>
        <v>473.56249999999994</v>
      </c>
      <c r="L31">
        <f t="shared" si="4"/>
        <v>-5.8725516584179713</v>
      </c>
      <c r="M31">
        <v>-65.596466195296159</v>
      </c>
      <c r="O31">
        <f t="shared" si="7"/>
        <v>408.16999999999996</v>
      </c>
      <c r="P31">
        <f t="shared" si="6"/>
        <v>-4.6882426737253429</v>
      </c>
      <c r="Q31">
        <v>-56.136002763964946</v>
      </c>
      <c r="S31">
        <f t="shared" si="9"/>
        <v>376.90909090909093</v>
      </c>
      <c r="T31">
        <f t="shared" si="8"/>
        <v>-3.9262746985572266</v>
      </c>
      <c r="U31">
        <v>-53.365533789574926</v>
      </c>
      <c r="W31">
        <f t="shared" si="10"/>
        <v>245.78750000000002</v>
      </c>
      <c r="X31">
        <f t="shared" si="11"/>
        <v>2.7682825151672099</v>
      </c>
      <c r="Y31">
        <v>-38.065351558700748</v>
      </c>
    </row>
    <row r="32" spans="1:25" x14ac:dyDescent="0.25">
      <c r="A32" s="7">
        <v>46103.82916666667</v>
      </c>
      <c r="B32" s="1">
        <v>143.1</v>
      </c>
      <c r="C32">
        <f t="shared" si="1"/>
        <v>178.20000000000002</v>
      </c>
      <c r="D32">
        <f t="shared" si="0"/>
        <v>14.710237875148424</v>
      </c>
      <c r="E32">
        <v>-26.345780304837902</v>
      </c>
      <c r="G32">
        <f t="shared" si="3"/>
        <v>274.25</v>
      </c>
      <c r="H32">
        <f t="shared" si="2"/>
        <v>0.47132322160080148</v>
      </c>
      <c r="I32">
        <v>-41.579421747849722</v>
      </c>
      <c r="K32">
        <f t="shared" si="5"/>
        <v>449.27499999999998</v>
      </c>
      <c r="L32">
        <f t="shared" si="4"/>
        <v>-5.4840767088073656</v>
      </c>
      <c r="M32">
        <v>-59.723619124702886</v>
      </c>
      <c r="O32">
        <f t="shared" si="7"/>
        <v>411.30999999999995</v>
      </c>
      <c r="P32">
        <f t="shared" si="6"/>
        <v>-4.7563898196266097</v>
      </c>
      <c r="Q32">
        <v>-55.933936047390823</v>
      </c>
      <c r="S32">
        <f t="shared" si="9"/>
        <v>380.75454545454545</v>
      </c>
      <c r="T32">
        <f t="shared" si="8"/>
        <v>-4.0290758448702908</v>
      </c>
      <c r="U32">
        <v>-53.252778830999823</v>
      </c>
      <c r="W32">
        <f t="shared" si="10"/>
        <v>245.37500000000003</v>
      </c>
      <c r="X32">
        <f t="shared" si="11"/>
        <v>2.8080696896086095</v>
      </c>
      <c r="Y32">
        <v>-37.539382461875299</v>
      </c>
    </row>
    <row r="33" spans="1:25" x14ac:dyDescent="0.25">
      <c r="A33" s="7">
        <v>46103.870833333334</v>
      </c>
      <c r="B33" s="1">
        <v>135.19999999999999</v>
      </c>
      <c r="C33">
        <f t="shared" si="1"/>
        <v>153.82499999999999</v>
      </c>
      <c r="D33">
        <f t="shared" si="0"/>
        <v>26.042072556848382</v>
      </c>
      <c r="E33">
        <v>19.945002261261262</v>
      </c>
      <c r="G33">
        <f t="shared" si="3"/>
        <v>198.35</v>
      </c>
      <c r="H33">
        <f t="shared" si="2"/>
        <v>9.4761771831924477</v>
      </c>
      <c r="I33">
        <v>-29.4600888324333</v>
      </c>
      <c r="K33">
        <f t="shared" si="5"/>
        <v>365.58749999999992</v>
      </c>
      <c r="L33">
        <f t="shared" si="4"/>
        <v>-3.6064931539927474</v>
      </c>
      <c r="M33">
        <v>-51.320860409317405</v>
      </c>
      <c r="O33">
        <f t="shared" si="7"/>
        <v>406.67999999999995</v>
      </c>
      <c r="P33">
        <f t="shared" si="6"/>
        <v>-4.6554211631944868</v>
      </c>
      <c r="Q33">
        <v>-55.022892178050412</v>
      </c>
      <c r="S33">
        <f t="shared" si="9"/>
        <v>384.07272727272726</v>
      </c>
      <c r="T33">
        <f t="shared" si="8"/>
        <v>-4.1155643154987622</v>
      </c>
      <c r="U33">
        <v>-53.041115784714265</v>
      </c>
      <c r="W33">
        <f t="shared" si="10"/>
        <v>244.48333333333338</v>
      </c>
      <c r="X33">
        <f t="shared" si="11"/>
        <v>2.8948371191905311</v>
      </c>
      <c r="Y33">
        <v>-36.894560387454121</v>
      </c>
    </row>
    <row r="34" spans="1:25" x14ac:dyDescent="0.25">
      <c r="A34" s="7">
        <v>46103.912499999999</v>
      </c>
      <c r="B34" s="1">
        <v>137.4</v>
      </c>
      <c r="C34">
        <f t="shared" si="1"/>
        <v>140.85</v>
      </c>
      <c r="D34">
        <f t="shared" si="0"/>
        <v>37.264801389326799</v>
      </c>
      <c r="E34">
        <v>27.426335720637663</v>
      </c>
      <c r="G34">
        <f t="shared" si="3"/>
        <v>164.23333333333332</v>
      </c>
      <c r="H34">
        <f t="shared" si="2"/>
        <v>20.191383307806284</v>
      </c>
      <c r="I34">
        <v>16.47485166931391</v>
      </c>
      <c r="K34">
        <f t="shared" si="5"/>
        <v>239.76250000000002</v>
      </c>
      <c r="L34">
        <f t="shared" si="4"/>
        <v>3.372334469102793</v>
      </c>
      <c r="M34">
        <v>-35.847266318917647</v>
      </c>
      <c r="O34">
        <f t="shared" si="7"/>
        <v>386.67999999999995</v>
      </c>
      <c r="P34">
        <f t="shared" si="6"/>
        <v>-4.1821306775112834</v>
      </c>
      <c r="Q34">
        <v>-52.933590854500792</v>
      </c>
      <c r="S34">
        <f t="shared" si="9"/>
        <v>386.20909090909083</v>
      </c>
      <c r="T34">
        <f t="shared" si="8"/>
        <v>-4.1701968313409719</v>
      </c>
      <c r="U34">
        <v>-52.89126167989513</v>
      </c>
      <c r="W34">
        <f t="shared" si="10"/>
        <v>243.53333333333333</v>
      </c>
      <c r="X34">
        <f t="shared" si="11"/>
        <v>2.9884463281293252</v>
      </c>
      <c r="Y34">
        <v>-36.411230325043839</v>
      </c>
    </row>
    <row r="35" spans="1:25" x14ac:dyDescent="0.25">
      <c r="A35" s="7">
        <v>46103.95416666667</v>
      </c>
      <c r="B35" s="1">
        <v>109</v>
      </c>
      <c r="C35">
        <f t="shared" si="1"/>
        <v>131.17499999999998</v>
      </c>
      <c r="D35">
        <f t="shared" si="0"/>
        <v>51.252856369535792</v>
      </c>
      <c r="E35">
        <v>35.713735096140546</v>
      </c>
      <c r="G35">
        <f t="shared" si="3"/>
        <v>143.61666666666665</v>
      </c>
      <c r="H35">
        <f t="shared" si="2"/>
        <v>34.342670881661043</v>
      </c>
      <c r="I35">
        <v>26.02104595419792</v>
      </c>
      <c r="K35">
        <f t="shared" si="5"/>
        <v>179.5625</v>
      </c>
      <c r="L35">
        <f t="shared" si="4"/>
        <v>14.275348873835503</v>
      </c>
      <c r="M35">
        <v>12.520172949023131</v>
      </c>
      <c r="O35">
        <f t="shared" si="7"/>
        <v>317.10999999999996</v>
      </c>
      <c r="P35">
        <f t="shared" si="6"/>
        <v>-1.8644783811800958</v>
      </c>
      <c r="Q35">
        <v>-45.745211693758641</v>
      </c>
      <c r="S35">
        <f t="shared" si="9"/>
        <v>382.19999999999987</v>
      </c>
      <c r="T35">
        <f t="shared" si="8"/>
        <v>-4.0669994251625221</v>
      </c>
      <c r="U35">
        <v>-52.333285294499774</v>
      </c>
      <c r="W35">
        <f t="shared" si="10"/>
        <v>242.75</v>
      </c>
      <c r="X35">
        <f t="shared" si="11"/>
        <v>3.0665536297506528</v>
      </c>
      <c r="Y35">
        <v>-36.099880151861576</v>
      </c>
    </row>
    <row r="36" spans="1:25" x14ac:dyDescent="0.25">
      <c r="A36" s="7">
        <v>46103.995833333334</v>
      </c>
      <c r="B36" s="1">
        <v>127.3</v>
      </c>
      <c r="C36">
        <f t="shared" si="1"/>
        <v>127.22500000000001</v>
      </c>
      <c r="D36">
        <f t="shared" si="0"/>
        <v>59.576707285832867</v>
      </c>
      <c r="E36">
        <v>40.443681972470607</v>
      </c>
      <c r="G36">
        <f t="shared" si="3"/>
        <v>133.28333333333333</v>
      </c>
      <c r="H36">
        <f t="shared" si="2"/>
        <v>47.561038629227546</v>
      </c>
      <c r="I36">
        <v>34.085509656244291</v>
      </c>
      <c r="K36">
        <f t="shared" si="5"/>
        <v>152.71250000000001</v>
      </c>
      <c r="L36">
        <f t="shared" si="4"/>
        <v>26.797788100168241</v>
      </c>
      <c r="M36">
        <v>21.40431529996167</v>
      </c>
      <c r="O36">
        <f t="shared" si="7"/>
        <v>215.44</v>
      </c>
      <c r="P36">
        <f t="shared" si="6"/>
        <v>6.4380255697614537</v>
      </c>
      <c r="Q36">
        <v>-31.68795534931656</v>
      </c>
      <c r="S36">
        <f t="shared" si="9"/>
        <v>361.43636363636364</v>
      </c>
      <c r="T36">
        <f t="shared" si="8"/>
        <v>-3.4823709880611244</v>
      </c>
      <c r="U36">
        <v>-50.233544832357921</v>
      </c>
      <c r="W36">
        <f t="shared" si="10"/>
        <v>241.58333333333337</v>
      </c>
      <c r="X36">
        <f t="shared" si="11"/>
        <v>3.1844574577573019</v>
      </c>
      <c r="Y36">
        <v>-35.7796744250983</v>
      </c>
    </row>
    <row r="37" spans="1:25" x14ac:dyDescent="0.25">
      <c r="A37" s="7">
        <v>46104.036805555559</v>
      </c>
      <c r="B37" s="1">
        <v>134.30000000000001</v>
      </c>
      <c r="C37">
        <f t="shared" si="1"/>
        <v>127</v>
      </c>
      <c r="D37">
        <f t="shared" ref="D37:D68" si="12">(($AA$4/((C37/$AD$4)-$AB$4))-$AC$4)*100</f>
        <v>60.117832022052617</v>
      </c>
      <c r="E37">
        <v>40.919917688875927</v>
      </c>
      <c r="G37">
        <f t="shared" si="3"/>
        <v>131.04999999999998</v>
      </c>
      <c r="H37">
        <f t="shared" si="2"/>
        <v>51.486285961442022</v>
      </c>
      <c r="I37">
        <v>36.406003879565191</v>
      </c>
      <c r="K37">
        <f t="shared" si="5"/>
        <v>140.41249999999999</v>
      </c>
      <c r="L37">
        <f t="shared" si="4"/>
        <v>37.761344749393672</v>
      </c>
      <c r="M37">
        <v>28.528996835064309</v>
      </c>
      <c r="O37">
        <f t="shared" si="7"/>
        <v>169.81</v>
      </c>
      <c r="P37">
        <f t="shared" si="6"/>
        <v>17.749106502838458</v>
      </c>
      <c r="Q37">
        <v>15.201717956641412</v>
      </c>
      <c r="S37">
        <f t="shared" si="9"/>
        <v>299.85454545454542</v>
      </c>
      <c r="T37">
        <f t="shared" si="8"/>
        <v>-1.0430431030398424</v>
      </c>
      <c r="U37">
        <v>-43.525757730110406</v>
      </c>
      <c r="W37">
        <f t="shared" si="10"/>
        <v>242.16666666666671</v>
      </c>
      <c r="X37">
        <f t="shared" si="11"/>
        <v>3.1252679226916285</v>
      </c>
      <c r="Y37">
        <v>-35.802666247318768</v>
      </c>
    </row>
    <row r="38" spans="1:25" x14ac:dyDescent="0.25">
      <c r="A38" s="7">
        <v>46104.078472222223</v>
      </c>
      <c r="B38" s="1">
        <v>118.4</v>
      </c>
      <c r="C38">
        <f t="shared" si="1"/>
        <v>122.25</v>
      </c>
      <c r="D38">
        <f t="shared" si="12"/>
        <v>73.832889423966179</v>
      </c>
      <c r="E38">
        <v>47.814790118998864</v>
      </c>
      <c r="G38">
        <f t="shared" si="3"/>
        <v>126.93333333333334</v>
      </c>
      <c r="H38">
        <f t="shared" si="2"/>
        <v>60.27975118802398</v>
      </c>
      <c r="I38">
        <v>41.224120498177122</v>
      </c>
      <c r="K38">
        <f t="shared" si="5"/>
        <v>131.55000000000001</v>
      </c>
      <c r="L38">
        <f t="shared" si="4"/>
        <v>50.562834631968101</v>
      </c>
      <c r="M38">
        <v>36.091726238784446</v>
      </c>
      <c r="O38">
        <f t="shared" si="7"/>
        <v>147.44</v>
      </c>
      <c r="P38">
        <f t="shared" si="6"/>
        <v>30.836795632001035</v>
      </c>
      <c r="Q38">
        <v>24.289688859981702</v>
      </c>
      <c r="S38">
        <f t="shared" si="9"/>
        <v>208.06363636363639</v>
      </c>
      <c r="T38">
        <f t="shared" si="8"/>
        <v>7.6341975026593882</v>
      </c>
      <c r="U38">
        <v>-30.342035958276899</v>
      </c>
      <c r="W38">
        <f t="shared" si="10"/>
        <v>242.63749999999996</v>
      </c>
      <c r="X38">
        <f t="shared" si="11"/>
        <v>3.0778403802208016</v>
      </c>
      <c r="Y38">
        <v>-35.803841738479505</v>
      </c>
    </row>
    <row r="39" spans="1:25" x14ac:dyDescent="0.25">
      <c r="A39" s="7">
        <v>46104.120138888888</v>
      </c>
      <c r="B39" s="1">
        <v>130.19999999999999</v>
      </c>
      <c r="C39">
        <f t="shared" si="1"/>
        <v>127.55</v>
      </c>
      <c r="D39">
        <f t="shared" si="12"/>
        <v>58.809363070442224</v>
      </c>
      <c r="E39">
        <v>40.627498431888462</v>
      </c>
      <c r="G39">
        <f t="shared" si="3"/>
        <v>126.09999999999998</v>
      </c>
      <c r="H39">
        <f t="shared" ref="H39:H70" si="13">(($AA$4/((G39/$AD$4)-$AB$4))-$AC$4)*100</f>
        <v>62.367313290731119</v>
      </c>
      <c r="I39">
        <v>42.444393434880737</v>
      </c>
      <c r="K39">
        <f t="shared" si="5"/>
        <v>129.36249999999998</v>
      </c>
      <c r="L39">
        <f t="shared" si="4"/>
        <v>54.816545459144884</v>
      </c>
      <c r="M39">
        <v>38.531359489609429</v>
      </c>
      <c r="O39">
        <f t="shared" si="7"/>
        <v>137.19</v>
      </c>
      <c r="P39">
        <f t="shared" si="6"/>
        <v>41.755550831904664</v>
      </c>
      <c r="Q39">
        <v>31.188676056227589</v>
      </c>
      <c r="S39">
        <f t="shared" si="9"/>
        <v>165.13636363636363</v>
      </c>
      <c r="T39">
        <f t="shared" si="8"/>
        <v>19.76859949716248</v>
      </c>
      <c r="U39">
        <v>16.777222430919831</v>
      </c>
      <c r="W39">
        <f t="shared" si="10"/>
        <v>243.64999999999998</v>
      </c>
      <c r="X39">
        <f t="shared" si="11"/>
        <v>2.9768849361185499</v>
      </c>
      <c r="Y39">
        <v>-35.905009080478159</v>
      </c>
    </row>
    <row r="40" spans="1:25" x14ac:dyDescent="0.25">
      <c r="A40" s="7">
        <v>46104.161805555559</v>
      </c>
      <c r="B40" s="1">
        <v>122.6</v>
      </c>
      <c r="C40">
        <f t="shared" si="1"/>
        <v>126.375</v>
      </c>
      <c r="D40">
        <f t="shared" si="12"/>
        <v>61.665121907258055</v>
      </c>
      <c r="E40">
        <v>42.217202427564956</v>
      </c>
      <c r="G40">
        <f t="shared" si="3"/>
        <v>123.63333333333334</v>
      </c>
      <c r="H40">
        <f t="shared" si="13"/>
        <v>69.325175482328348</v>
      </c>
      <c r="I40">
        <v>46.016008261465061</v>
      </c>
      <c r="K40">
        <f t="shared" si="5"/>
        <v>126.8</v>
      </c>
      <c r="L40">
        <f t="shared" si="4"/>
        <v>60.605795973690448</v>
      </c>
      <c r="M40">
        <v>41.676160832190675</v>
      </c>
      <c r="O40">
        <f t="shared" si="7"/>
        <v>130.52000000000001</v>
      </c>
      <c r="P40">
        <f t="shared" si="6"/>
        <v>52.495628500891144</v>
      </c>
      <c r="Q40">
        <v>37.392057553439216</v>
      </c>
      <c r="S40">
        <f t="shared" si="9"/>
        <v>145.87272727272727</v>
      </c>
      <c r="T40">
        <f t="shared" si="8"/>
        <v>32.206982442380742</v>
      </c>
      <c r="U40">
        <v>25.336210643858507</v>
      </c>
      <c r="W40">
        <f t="shared" si="10"/>
        <v>244.00416666666663</v>
      </c>
      <c r="X40">
        <f t="shared" si="11"/>
        <v>2.9419006064539079</v>
      </c>
      <c r="Y40">
        <v>-35.919377482718211</v>
      </c>
    </row>
    <row r="41" spans="1:25" x14ac:dyDescent="0.25">
      <c r="A41" s="7">
        <v>46104.203472222223</v>
      </c>
      <c r="B41" s="1">
        <v>120.3</v>
      </c>
      <c r="C41">
        <f t="shared" si="1"/>
        <v>122.875</v>
      </c>
      <c r="D41">
        <f t="shared" si="12"/>
        <v>71.735535866428052</v>
      </c>
      <c r="E41">
        <v>47.388645620321782</v>
      </c>
      <c r="G41">
        <f t="shared" si="3"/>
        <v>125.51666666666665</v>
      </c>
      <c r="H41">
        <f t="shared" si="13"/>
        <v>63.902355813050349</v>
      </c>
      <c r="I41">
        <v>43.537670820500388</v>
      </c>
      <c r="K41">
        <f t="shared" si="5"/>
        <v>124.93749999999999</v>
      </c>
      <c r="L41">
        <f t="shared" ref="L41:L72" si="14">(($AA$4/((K41/$AD$4)-$AB$4))-$AC$4)*100</f>
        <v>65.490881208865531</v>
      </c>
      <c r="M41">
        <v>44.334325184742305</v>
      </c>
      <c r="O41">
        <f t="shared" si="7"/>
        <v>127.77999999999997</v>
      </c>
      <c r="P41">
        <f t="shared" si="6"/>
        <v>58.276255246630484</v>
      </c>
      <c r="Q41">
        <v>40.645624236653418</v>
      </c>
      <c r="S41">
        <f t="shared" si="9"/>
        <v>135.86363636363637</v>
      </c>
      <c r="T41">
        <f t="shared" si="8"/>
        <v>43.594203932639161</v>
      </c>
      <c r="U41">
        <v>32.49413745349873</v>
      </c>
      <c r="W41">
        <f t="shared" si="10"/>
        <v>242.20833333333334</v>
      </c>
      <c r="X41">
        <f t="shared" si="11"/>
        <v>3.1210583520889443</v>
      </c>
      <c r="Y41">
        <v>-35.598759989865805</v>
      </c>
    </row>
    <row r="42" spans="1:25" x14ac:dyDescent="0.25">
      <c r="A42" s="7">
        <v>46104.245138888888</v>
      </c>
      <c r="B42" s="1">
        <v>107.2</v>
      </c>
      <c r="C42">
        <f t="shared" si="1"/>
        <v>120.07499999999999</v>
      </c>
      <c r="D42">
        <f t="shared" si="12"/>
        <v>82.034806275384554</v>
      </c>
      <c r="E42">
        <v>52.346599296587002</v>
      </c>
      <c r="G42">
        <f t="shared" si="3"/>
        <v>122.16666666666667</v>
      </c>
      <c r="H42">
        <f t="shared" si="13"/>
        <v>74.120549515705974</v>
      </c>
      <c r="I42">
        <v>48.66677167192443</v>
      </c>
      <c r="K42">
        <f t="shared" si="5"/>
        <v>121.16250000000001</v>
      </c>
      <c r="L42">
        <f t="shared" si="14"/>
        <v>77.74579980730924</v>
      </c>
      <c r="M42">
        <v>50.371911877559981</v>
      </c>
      <c r="O42">
        <f t="shared" si="7"/>
        <v>124.19000000000001</v>
      </c>
      <c r="P42">
        <f t="shared" si="6"/>
        <v>67.642812321684517</v>
      </c>
      <c r="Q42">
        <v>45.529117032702899</v>
      </c>
      <c r="S42">
        <f t="shared" si="9"/>
        <v>129.59090909090909</v>
      </c>
      <c r="T42">
        <f t="shared" si="8"/>
        <v>54.345322321514764</v>
      </c>
      <c r="U42">
        <v>38.657320576197165</v>
      </c>
      <c r="W42">
        <f t="shared" si="10"/>
        <v>242.32083333333333</v>
      </c>
      <c r="X42">
        <f t="shared" si="11"/>
        <v>3.10970460629474</v>
      </c>
      <c r="Y42">
        <v>-35.581305263059619</v>
      </c>
    </row>
    <row r="43" spans="1:25" x14ac:dyDescent="0.25">
      <c r="A43" s="7">
        <v>46104.286805555559</v>
      </c>
      <c r="B43" s="1">
        <v>113.4</v>
      </c>
      <c r="C43">
        <f t="shared" si="1"/>
        <v>115.875</v>
      </c>
      <c r="D43">
        <f t="shared" si="12"/>
        <v>103.35184753154721</v>
      </c>
      <c r="E43">
        <v>61.053684988173998</v>
      </c>
      <c r="G43">
        <f t="shared" si="3"/>
        <v>118.68333333333334</v>
      </c>
      <c r="H43">
        <f t="shared" si="13"/>
        <v>88.164147973012646</v>
      </c>
      <c r="I43">
        <v>54.647850658365002</v>
      </c>
      <c r="K43">
        <f t="shared" si="5"/>
        <v>121.71249999999999</v>
      </c>
      <c r="L43">
        <f t="shared" si="14"/>
        <v>75.723022804322369</v>
      </c>
      <c r="M43">
        <v>49.047409428625087</v>
      </c>
      <c r="O43">
        <f t="shared" si="7"/>
        <v>122.00999999999999</v>
      </c>
      <c r="P43">
        <f t="shared" ref="P43:P74" si="15">(($AA$4/((O43/$AD$4)-$AB$4))-$AC$4)*100</f>
        <v>74.666634383848816</v>
      </c>
      <c r="Q43">
        <v>48.554247991850644</v>
      </c>
      <c r="S43">
        <f t="shared" si="9"/>
        <v>125.90909090909089</v>
      </c>
      <c r="T43">
        <f t="shared" si="8"/>
        <v>62.862764436937326</v>
      </c>
      <c r="U43">
        <v>42.821169589173508</v>
      </c>
      <c r="W43">
        <f t="shared" si="10"/>
        <v>241.33749999999998</v>
      </c>
      <c r="X43">
        <f t="shared" si="11"/>
        <v>3.2095453585488527</v>
      </c>
      <c r="Y43">
        <v>-35.524042605806784</v>
      </c>
    </row>
    <row r="44" spans="1:25" x14ac:dyDescent="0.25">
      <c r="A44" s="7">
        <v>46104.328472222223</v>
      </c>
      <c r="B44" s="3">
        <v>120.9</v>
      </c>
      <c r="C44">
        <f t="shared" si="1"/>
        <v>115.44999999999999</v>
      </c>
      <c r="D44">
        <f t="shared" si="12"/>
        <v>106.06306410764812</v>
      </c>
      <c r="E44">
        <v>58.221448246237543</v>
      </c>
      <c r="G44">
        <f t="shared" si="3"/>
        <v>119.09999999999998</v>
      </c>
      <c r="H44">
        <f t="shared" si="13"/>
        <v>86.246385474330083</v>
      </c>
      <c r="I44">
        <v>50.697295074146432</v>
      </c>
      <c r="K44">
        <f t="shared" si="5"/>
        <v>120.91249999999999</v>
      </c>
      <c r="L44">
        <f t="shared" si="14"/>
        <v>78.696589155990068</v>
      </c>
      <c r="M44">
        <v>47.60220423380057</v>
      </c>
      <c r="O44">
        <f t="shared" si="7"/>
        <v>120.36000000000001</v>
      </c>
      <c r="P44">
        <f t="shared" si="15"/>
        <v>80.871424779094298</v>
      </c>
      <c r="Q44">
        <v>48.508660585129547</v>
      </c>
      <c r="S44">
        <f t="shared" si="9"/>
        <v>123.20909090909093</v>
      </c>
      <c r="T44">
        <f t="shared" si="8"/>
        <v>70.656142177663256</v>
      </c>
      <c r="U44">
        <v>44.136297871567393</v>
      </c>
      <c r="W44">
        <f t="shared" si="10"/>
        <v>241.98333333333332</v>
      </c>
      <c r="X44">
        <f t="shared" si="11"/>
        <v>3.1438188666028668</v>
      </c>
      <c r="Y44">
        <v>-36.311266637706453</v>
      </c>
    </row>
    <row r="45" spans="1:25" x14ac:dyDescent="0.25">
      <c r="A45" s="20">
        <v>46104.370833333334</v>
      </c>
      <c r="B45" s="4">
        <v>272.3</v>
      </c>
      <c r="C45">
        <f t="shared" si="1"/>
        <v>153.44999999999999</v>
      </c>
      <c r="D45">
        <f t="shared" si="12"/>
        <v>26.293453580651434</v>
      </c>
      <c r="E45">
        <v>18.92110209587829</v>
      </c>
      <c r="G45">
        <f t="shared" si="3"/>
        <v>142.78333333333333</v>
      </c>
      <c r="H45">
        <f t="shared" si="13"/>
        <v>35.185297542256741</v>
      </c>
      <c r="I45">
        <v>24.046624425264572</v>
      </c>
      <c r="K45">
        <f t="shared" si="5"/>
        <v>138.16249999999999</v>
      </c>
      <c r="L45">
        <f t="shared" si="14"/>
        <v>40.483551633371185</v>
      </c>
      <c r="M45">
        <v>26.891512314849642</v>
      </c>
      <c r="O45">
        <f t="shared" si="7"/>
        <v>136.69</v>
      </c>
      <c r="P45">
        <f t="shared" si="15"/>
        <v>42.434073729989919</v>
      </c>
      <c r="Q45">
        <v>27.900882078821631</v>
      </c>
      <c r="S45">
        <f t="shared" si="9"/>
        <v>121.90909090909091</v>
      </c>
      <c r="T45">
        <f t="shared" ref="T45:T76" si="16">(($AA$4/((S45/$AD$4)-$AB$4))-$AC$4)*100</f>
        <v>75.0220714623932</v>
      </c>
      <c r="U45">
        <v>42.273332655371085</v>
      </c>
      <c r="W45">
        <f t="shared" si="10"/>
        <v>248.88749999999996</v>
      </c>
      <c r="X45">
        <f t="shared" si="11"/>
        <v>2.4762109755191735</v>
      </c>
      <c r="Y45">
        <v>-38.489114507973319</v>
      </c>
    </row>
    <row r="46" spans="1:25" x14ac:dyDescent="0.25">
      <c r="A46" s="20">
        <v>46104.412499999999</v>
      </c>
      <c r="B46" s="3">
        <v>819.5</v>
      </c>
      <c r="C46">
        <f t="shared" si="1"/>
        <v>331.52499999999998</v>
      </c>
      <c r="D46">
        <f t="shared" si="12"/>
        <v>-2.4578515547450581</v>
      </c>
      <c r="E46">
        <v>-49.982374866719731</v>
      </c>
      <c r="G46">
        <f t="shared" si="3"/>
        <v>258.93333333333334</v>
      </c>
      <c r="H46">
        <f t="shared" si="13"/>
        <v>1.6067749012029884</v>
      </c>
      <c r="I46">
        <v>-41.081389662853404</v>
      </c>
      <c r="K46">
        <f t="shared" si="5"/>
        <v>225.79999999999998</v>
      </c>
      <c r="L46">
        <f t="shared" si="14"/>
        <v>4.9901679025964745</v>
      </c>
      <c r="M46">
        <v>-36.083834028130383</v>
      </c>
      <c r="O46">
        <f t="shared" si="7"/>
        <v>205.91</v>
      </c>
      <c r="P46">
        <f t="shared" si="15"/>
        <v>8.0141226644487826</v>
      </c>
      <c r="Q46">
        <v>-32.750360191074627</v>
      </c>
      <c r="S46">
        <f t="shared" si="9"/>
        <v>134.17272727272729</v>
      </c>
      <c r="T46">
        <f t="shared" si="16"/>
        <v>46.130774970422387</v>
      </c>
      <c r="U46">
        <v>27.753422037108681</v>
      </c>
      <c r="W46">
        <f t="shared" si="10"/>
        <v>278.37916666666661</v>
      </c>
      <c r="X46">
        <f t="shared" si="11"/>
        <v>0.19811924766653249</v>
      </c>
      <c r="Y46">
        <v>-43.715263270023691</v>
      </c>
    </row>
    <row r="47" spans="1:25" x14ac:dyDescent="0.25">
      <c r="A47" s="20">
        <v>46104.454166550924</v>
      </c>
      <c r="B47" s="4">
        <v>521.29999999999995</v>
      </c>
      <c r="C47">
        <f t="shared" si="1"/>
        <v>433.5</v>
      </c>
      <c r="D47">
        <f t="shared" si="12"/>
        <v>-5.2016778572325357</v>
      </c>
      <c r="E47">
        <v>-62.089768889063265</v>
      </c>
      <c r="G47">
        <f t="shared" si="3"/>
        <v>325.76666666666665</v>
      </c>
      <c r="H47">
        <f t="shared" si="13"/>
        <v>-2.2298048995215787</v>
      </c>
      <c r="I47">
        <v>-50.648707450753292</v>
      </c>
      <c r="K47">
        <f t="shared" si="5"/>
        <v>274.6875</v>
      </c>
      <c r="L47">
        <f t="shared" si="14"/>
        <v>0.44177336095074099</v>
      </c>
      <c r="M47">
        <v>-44.516977079200331</v>
      </c>
      <c r="O47">
        <f t="shared" si="7"/>
        <v>244.60999999999999</v>
      </c>
      <c r="P47">
        <f t="shared" si="15"/>
        <v>2.882447205415918</v>
      </c>
      <c r="Q47">
        <v>-40.277552442149336</v>
      </c>
      <c r="S47">
        <f t="shared" si="9"/>
        <v>198.76363636363632</v>
      </c>
      <c r="T47">
        <f t="shared" si="16"/>
        <v>9.3905402464401551</v>
      </c>
      <c r="U47">
        <v>-32.697061352510147</v>
      </c>
      <c r="W47">
        <f t="shared" si="10"/>
        <v>292.53749999999997</v>
      </c>
      <c r="X47">
        <f t="shared" si="11"/>
        <v>-0.65084697274485759</v>
      </c>
      <c r="Y47">
        <v>-46.797545386130864</v>
      </c>
    </row>
    <row r="48" spans="1:25" x14ac:dyDescent="0.25">
      <c r="A48" s="20">
        <v>46104.495833159723</v>
      </c>
      <c r="B48" s="4">
        <v>1081.9000000000001</v>
      </c>
      <c r="C48">
        <f t="shared" si="1"/>
        <v>673.75</v>
      </c>
      <c r="D48">
        <f t="shared" si="12"/>
        <v>-7.8273278275422049</v>
      </c>
      <c r="E48">
        <v>-233.67336722283011</v>
      </c>
      <c r="G48">
        <f t="shared" si="3"/>
        <v>488.2166666666667</v>
      </c>
      <c r="H48">
        <f t="shared" si="13"/>
        <v>-6.0835849524993</v>
      </c>
      <c r="I48">
        <v>-86.833218617149413</v>
      </c>
      <c r="K48">
        <f t="shared" si="5"/>
        <v>394.59999999999997</v>
      </c>
      <c r="L48">
        <f t="shared" si="14"/>
        <v>-4.3771728979406195</v>
      </c>
      <c r="M48">
        <v>-58.38840811693531</v>
      </c>
      <c r="O48">
        <f t="shared" si="7"/>
        <v>340.96</v>
      </c>
      <c r="P48">
        <f t="shared" si="15"/>
        <v>-2.8081918311664249</v>
      </c>
      <c r="Q48">
        <v>-53.226093242912583</v>
      </c>
      <c r="S48">
        <f t="shared" si="9"/>
        <v>234.58181818181814</v>
      </c>
      <c r="T48">
        <f t="shared" si="16"/>
        <v>3.9341787817366898</v>
      </c>
      <c r="U48">
        <v>-39.687968981801689</v>
      </c>
      <c r="W48">
        <f t="shared" si="10"/>
        <v>323.55833333333334</v>
      </c>
      <c r="X48">
        <f t="shared" si="11"/>
        <v>-2.1392671380953576</v>
      </c>
      <c r="Y48">
        <v>-51.3725273264821</v>
      </c>
    </row>
    <row r="49" spans="1:25" x14ac:dyDescent="0.25">
      <c r="A49" s="20">
        <v>46104.537499768521</v>
      </c>
      <c r="B49" s="4">
        <v>1452.8</v>
      </c>
      <c r="C49">
        <f t="shared" si="1"/>
        <v>968.875</v>
      </c>
      <c r="D49">
        <f t="shared" si="12"/>
        <v>-9.0711442482944697</v>
      </c>
      <c r="E49">
        <v>-484.37717461836468</v>
      </c>
      <c r="G49">
        <f t="shared" si="3"/>
        <v>711.44999999999993</v>
      </c>
      <c r="H49">
        <f t="shared" si="13"/>
        <v>-8.0528309183883149</v>
      </c>
      <c r="I49">
        <v>-266.65709194752367</v>
      </c>
      <c r="K49">
        <f t="shared" si="5"/>
        <v>561.16250000000002</v>
      </c>
      <c r="L49">
        <f t="shared" si="14"/>
        <v>-6.9356252224266726</v>
      </c>
      <c r="M49">
        <v>-140.89686791991539</v>
      </c>
      <c r="O49">
        <f t="shared" si="7"/>
        <v>473.21999999999997</v>
      </c>
      <c r="P49">
        <f t="shared" si="15"/>
        <v>-5.8674225052661528</v>
      </c>
      <c r="Q49">
        <v>-78.993650378189457</v>
      </c>
      <c r="S49">
        <f t="shared" si="9"/>
        <v>320.72727272727275</v>
      </c>
      <c r="T49">
        <f t="shared" si="16"/>
        <v>-2.0205790245740358</v>
      </c>
      <c r="U49">
        <v>-51.167066003856831</v>
      </c>
      <c r="W49">
        <f t="shared" si="10"/>
        <v>350.56249999999994</v>
      </c>
      <c r="X49">
        <f t="shared" si="11"/>
        <v>-3.1379339619777458</v>
      </c>
      <c r="Y49">
        <v>-54.3093126369765</v>
      </c>
    </row>
    <row r="50" spans="1:25" x14ac:dyDescent="0.25">
      <c r="A50" s="20">
        <v>46104.579166377313</v>
      </c>
      <c r="B50" s="4">
        <v>828.1</v>
      </c>
      <c r="C50">
        <f t="shared" si="1"/>
        <v>971.02499999999998</v>
      </c>
      <c r="D50">
        <f t="shared" si="12"/>
        <v>-9.077122003514388</v>
      </c>
      <c r="E50">
        <v>-488.8762000698905</v>
      </c>
      <c r="G50">
        <f t="shared" si="3"/>
        <v>829.31666666666672</v>
      </c>
      <c r="H50">
        <f t="shared" si="13"/>
        <v>-8.6079924962080057</v>
      </c>
      <c r="I50">
        <v>-368.60358881221612</v>
      </c>
      <c r="K50">
        <f t="shared" si="5"/>
        <v>651.27500000000009</v>
      </c>
      <c r="L50">
        <f t="shared" si="14"/>
        <v>-7.6782866144635182</v>
      </c>
      <c r="M50">
        <v>-217.59785135468249</v>
      </c>
      <c r="O50">
        <f t="shared" si="7"/>
        <v>543.77</v>
      </c>
      <c r="P50">
        <f t="shared" si="15"/>
        <v>-6.7577590651759838</v>
      </c>
      <c r="Q50">
        <v>-128.3732779273555</v>
      </c>
      <c r="S50">
        <f t="shared" si="9"/>
        <v>442.0363636363636</v>
      </c>
      <c r="T50">
        <f t="shared" si="16"/>
        <v>-5.3577031397979544</v>
      </c>
      <c r="U50">
        <v>-66.854949864393348</v>
      </c>
      <c r="W50">
        <f t="shared" si="10"/>
        <v>337.40000000000003</v>
      </c>
      <c r="X50">
        <f t="shared" si="11"/>
        <v>-2.679238486953532</v>
      </c>
      <c r="Y50">
        <v>-53.135201330414276</v>
      </c>
    </row>
    <row r="51" spans="1:25" x14ac:dyDescent="0.25">
      <c r="A51" s="7">
        <v>46104.620832986111</v>
      </c>
      <c r="B51" s="3">
        <v>191.4</v>
      </c>
      <c r="C51">
        <f t="shared" si="1"/>
        <v>888.55</v>
      </c>
      <c r="D51">
        <f t="shared" si="12"/>
        <v>-8.8245295141264268</v>
      </c>
      <c r="E51">
        <v>-418.82883974974482</v>
      </c>
      <c r="G51">
        <f t="shared" si="3"/>
        <v>815.83333333333337</v>
      </c>
      <c r="H51">
        <f t="shared" si="13"/>
        <v>-8.5537127037590164</v>
      </c>
      <c r="I51">
        <v>-357.11641645862971</v>
      </c>
      <c r="K51">
        <f t="shared" si="5"/>
        <v>661.02499999999998</v>
      </c>
      <c r="L51">
        <f t="shared" si="14"/>
        <v>-7.7444028515398822</v>
      </c>
      <c r="M51">
        <v>-225.81280727256998</v>
      </c>
      <c r="O51">
        <f t="shared" si="7"/>
        <v>550.88</v>
      </c>
      <c r="P51">
        <f t="shared" si="15"/>
        <v>-6.8321190656738278</v>
      </c>
      <c r="Q51">
        <v>-134.004526538509</v>
      </c>
      <c r="S51">
        <f t="shared" si="9"/>
        <v>505.4818181818182</v>
      </c>
      <c r="T51">
        <f t="shared" si="16"/>
        <v>-6.3127689656387211</v>
      </c>
      <c r="U51">
        <v>-99.669255846575197</v>
      </c>
      <c r="W51">
        <f t="shared" si="10"/>
        <v>320.76666666666671</v>
      </c>
      <c r="X51">
        <f t="shared" si="11"/>
        <v>-2.0222512037666727</v>
      </c>
      <c r="Y51">
        <v>-51.340243180914705</v>
      </c>
    </row>
    <row r="52" spans="1:25" x14ac:dyDescent="0.25">
      <c r="A52" s="7">
        <v>46104.66249959491</v>
      </c>
      <c r="B52" s="3">
        <v>132</v>
      </c>
      <c r="C52">
        <f t="shared" si="1"/>
        <v>651.07500000000005</v>
      </c>
      <c r="D52">
        <f t="shared" si="12"/>
        <v>-7.6769060093332717</v>
      </c>
      <c r="E52">
        <v>-210.45001079645539</v>
      </c>
      <c r="G52">
        <f t="shared" si="3"/>
        <v>701.25</v>
      </c>
      <c r="H52">
        <f t="shared" si="13"/>
        <v>-7.9945982140009111</v>
      </c>
      <c r="I52">
        <v>-252.35572767586228</v>
      </c>
      <c r="K52">
        <f t="shared" si="5"/>
        <v>662.41250000000002</v>
      </c>
      <c r="L52">
        <f t="shared" si="14"/>
        <v>-7.7536262186814282</v>
      </c>
      <c r="M52">
        <v>-219.9056370842944</v>
      </c>
      <c r="O52">
        <f t="shared" si="7"/>
        <v>553.36</v>
      </c>
      <c r="P52">
        <f t="shared" si="15"/>
        <v>-6.8575105898387694</v>
      </c>
      <c r="Q52">
        <v>-130.4687058538882</v>
      </c>
      <c r="S52">
        <f t="shared" si="9"/>
        <v>511.73636363636359</v>
      </c>
      <c r="T52">
        <f t="shared" si="16"/>
        <v>-6.3910806899424353</v>
      </c>
      <c r="U52">
        <v>-99.567632769227217</v>
      </c>
      <c r="W52">
        <f t="shared" si="10"/>
        <v>312.01249999999999</v>
      </c>
      <c r="X52">
        <f t="shared" si="11"/>
        <v>-1.635565054855928</v>
      </c>
      <c r="Y52">
        <v>-49.67497618041935</v>
      </c>
    </row>
    <row r="53" spans="1:25" x14ac:dyDescent="0.25">
      <c r="A53" s="7">
        <v>46104.704166203701</v>
      </c>
      <c r="B53" s="3">
        <v>120.3</v>
      </c>
      <c r="C53">
        <f t="shared" si="1"/>
        <v>317.95</v>
      </c>
      <c r="D53">
        <f t="shared" si="12"/>
        <v>-1.9011845078064928</v>
      </c>
      <c r="E53">
        <v>-49.619339198662331</v>
      </c>
      <c r="G53">
        <f t="shared" si="3"/>
        <v>634.41666666666663</v>
      </c>
      <c r="H53">
        <f t="shared" si="13"/>
        <v>-7.5583028732815638</v>
      </c>
      <c r="I53">
        <v>-189.18761160291652</v>
      </c>
      <c r="K53">
        <f t="shared" si="5"/>
        <v>643.41250000000002</v>
      </c>
      <c r="L53">
        <f t="shared" si="14"/>
        <v>-7.6232498386418239</v>
      </c>
      <c r="M53">
        <v>-196.5475039307893</v>
      </c>
      <c r="O53">
        <f t="shared" si="7"/>
        <v>554.04999999999995</v>
      </c>
      <c r="P53">
        <f t="shared" si="15"/>
        <v>-6.864526120857156</v>
      </c>
      <c r="Q53">
        <v>-124.9900437218223</v>
      </c>
      <c r="S53">
        <f t="shared" si="9"/>
        <v>512.80000000000007</v>
      </c>
      <c r="T53">
        <f t="shared" si="16"/>
        <v>-6.4041635921744273</v>
      </c>
      <c r="U53">
        <v>-95.461546697553757</v>
      </c>
      <c r="W53">
        <f t="shared" si="10"/>
        <v>307.32916666666671</v>
      </c>
      <c r="X53">
        <f t="shared" si="11"/>
        <v>-1.4154497630485943</v>
      </c>
      <c r="Y53">
        <v>-48.405389034398127</v>
      </c>
    </row>
    <row r="54" spans="1:25" x14ac:dyDescent="0.25">
      <c r="A54" s="7">
        <v>46104.745832812499</v>
      </c>
      <c r="B54" s="3">
        <v>113.3</v>
      </c>
      <c r="C54">
        <f t="shared" si="1"/>
        <v>139.25</v>
      </c>
      <c r="D54">
        <f t="shared" si="12"/>
        <v>39.131229712964988</v>
      </c>
      <c r="E54">
        <v>24.778890713779518</v>
      </c>
      <c r="G54">
        <f t="shared" si="3"/>
        <v>472.98333333333341</v>
      </c>
      <c r="H54">
        <f t="shared" si="13"/>
        <v>-5.8638728068764001</v>
      </c>
      <c r="I54">
        <v>-68.28290219805406</v>
      </c>
      <c r="K54">
        <f t="shared" si="5"/>
        <v>555.13750000000005</v>
      </c>
      <c r="L54">
        <f t="shared" si="14"/>
        <v>-6.875540266236559</v>
      </c>
      <c r="M54">
        <v>-114.38131639676601</v>
      </c>
      <c r="O54">
        <f t="shared" si="7"/>
        <v>553.29000000000008</v>
      </c>
      <c r="P54">
        <f t="shared" si="15"/>
        <v>-6.8567976826931529</v>
      </c>
      <c r="Q54">
        <v>-113.06303146036541</v>
      </c>
      <c r="S54">
        <f t="shared" si="9"/>
        <v>513.9909090909091</v>
      </c>
      <c r="T54">
        <f t="shared" si="16"/>
        <v>-6.4187326856290392</v>
      </c>
      <c r="U54">
        <v>-87.349854643104123</v>
      </c>
      <c r="W54">
        <f t="shared" si="10"/>
        <v>304.16250000000002</v>
      </c>
      <c r="X54">
        <f t="shared" si="11"/>
        <v>-1.2609654842062863</v>
      </c>
      <c r="Y54">
        <v>-46.666166579190971</v>
      </c>
    </row>
    <row r="55" spans="1:25" x14ac:dyDescent="0.25">
      <c r="A55" s="7">
        <v>46104.787499421298</v>
      </c>
      <c r="B55" s="3">
        <v>124.3</v>
      </c>
      <c r="C55">
        <f t="shared" si="1"/>
        <v>122.47500000000001</v>
      </c>
      <c r="D55">
        <f t="shared" si="12"/>
        <v>73.065775258296668</v>
      </c>
      <c r="E55">
        <v>42.449800173945803</v>
      </c>
      <c r="G55">
        <f t="shared" si="3"/>
        <v>251.56666666666663</v>
      </c>
      <c r="H55">
        <f t="shared" si="13"/>
        <v>2.2332541882821175</v>
      </c>
      <c r="I55">
        <v>-38.561743458975826</v>
      </c>
      <c r="K55">
        <f t="shared" si="5"/>
        <v>505.51250000000005</v>
      </c>
      <c r="L55">
        <f t="shared" si="14"/>
        <v>-6.3131589848667566</v>
      </c>
      <c r="M55">
        <v>-75.863104913888463</v>
      </c>
      <c r="O55">
        <f t="shared" si="7"/>
        <v>538.49</v>
      </c>
      <c r="P55">
        <f t="shared" si="15"/>
        <v>-6.7009868452569785</v>
      </c>
      <c r="Q55">
        <v>-93.558288841424627</v>
      </c>
      <c r="S55">
        <f t="shared" si="9"/>
        <v>513.9818181818182</v>
      </c>
      <c r="T55">
        <f t="shared" si="16"/>
        <v>-6.4186217867191111</v>
      </c>
      <c r="U55">
        <v>-79.891095452604006</v>
      </c>
      <c r="W55">
        <f t="shared" si="10"/>
        <v>303.1875</v>
      </c>
      <c r="X55">
        <f t="shared" si="11"/>
        <v>-1.212443084376684</v>
      </c>
      <c r="Y55">
        <v>-45.317538108110497</v>
      </c>
    </row>
    <row r="56" spans="1:25" x14ac:dyDescent="0.25">
      <c r="A56" s="7">
        <v>46104.829166030089</v>
      </c>
      <c r="B56" s="3">
        <v>133.80000000000001</v>
      </c>
      <c r="C56">
        <f t="shared" si="1"/>
        <v>122.925</v>
      </c>
      <c r="D56">
        <f t="shared" si="12"/>
        <v>71.572192742661869</v>
      </c>
      <c r="E56">
        <v>43.628080912516246</v>
      </c>
      <c r="G56">
        <f t="shared" si="3"/>
        <v>135.85</v>
      </c>
      <c r="H56">
        <f t="shared" si="13"/>
        <v>43.613766730991244</v>
      </c>
      <c r="I56">
        <v>30.221112077110018</v>
      </c>
      <c r="K56">
        <f t="shared" si="5"/>
        <v>387.00000000000011</v>
      </c>
      <c r="L56">
        <f t="shared" si="14"/>
        <v>-4.1902180128449649</v>
      </c>
      <c r="M56">
        <v>-53.364480850553399</v>
      </c>
      <c r="O56">
        <f t="shared" si="7"/>
        <v>469.92000000000007</v>
      </c>
      <c r="P56">
        <f t="shared" si="15"/>
        <v>-5.817519642879053</v>
      </c>
      <c r="Q56">
        <v>-62.269591254200016</v>
      </c>
      <c r="S56">
        <f t="shared" si="9"/>
        <v>514.29090909090917</v>
      </c>
      <c r="T56">
        <f t="shared" si="16"/>
        <v>-6.4223896360105392</v>
      </c>
      <c r="U56">
        <v>-76.818111560825713</v>
      </c>
      <c r="W56">
        <f t="shared" si="10"/>
        <v>302.80000000000007</v>
      </c>
      <c r="X56">
        <f t="shared" si="11"/>
        <v>-1.1930305899797711</v>
      </c>
      <c r="Y56">
        <v>-44.695280882061624</v>
      </c>
    </row>
    <row r="57" spans="1:25" x14ac:dyDescent="0.25">
      <c r="A57" s="7">
        <v>46104.870832638888</v>
      </c>
      <c r="B57" s="3">
        <v>142.1</v>
      </c>
      <c r="C57">
        <f t="shared" si="1"/>
        <v>128.375</v>
      </c>
      <c r="D57">
        <f t="shared" si="12"/>
        <v>56.933915616372865</v>
      </c>
      <c r="E57">
        <v>37.656493468494503</v>
      </c>
      <c r="G57">
        <f t="shared" si="3"/>
        <v>127.63333333333334</v>
      </c>
      <c r="H57">
        <f t="shared" si="13"/>
        <v>58.615269600439809</v>
      </c>
      <c r="I57">
        <v>38.475577769717788</v>
      </c>
      <c r="K57">
        <f t="shared" si="5"/>
        <v>223.16249999999997</v>
      </c>
      <c r="L57">
        <f t="shared" si="14"/>
        <v>5.3361281241325376</v>
      </c>
      <c r="M57">
        <v>-33.426158378118728</v>
      </c>
      <c r="O57">
        <f t="shared" si="7"/>
        <v>432.00000000000011</v>
      </c>
      <c r="P57">
        <f t="shared" si="15"/>
        <v>-5.1734387969050788</v>
      </c>
      <c r="Q57">
        <v>-56.997278304494913</v>
      </c>
      <c r="S57">
        <f t="shared" si="9"/>
        <v>501.70000000000005</v>
      </c>
      <c r="T57">
        <f t="shared" si="16"/>
        <v>-6.2642421055165043</v>
      </c>
      <c r="U57">
        <v>-70.414259008980636</v>
      </c>
      <c r="W57">
        <f t="shared" si="10"/>
        <v>303.08750000000003</v>
      </c>
      <c r="X57">
        <f t="shared" si="11"/>
        <v>-1.2074404122603466</v>
      </c>
      <c r="Y57">
        <v>-44.484361733829857</v>
      </c>
    </row>
    <row r="58" spans="1:25" x14ac:dyDescent="0.25">
      <c r="A58" s="7">
        <v>46104.912499247686</v>
      </c>
      <c r="B58" s="3">
        <v>107.5</v>
      </c>
      <c r="C58">
        <f t="shared" si="1"/>
        <v>126.92500000000001</v>
      </c>
      <c r="D58">
        <f t="shared" si="12"/>
        <v>60.300042578245396</v>
      </c>
      <c r="E58">
        <v>40.054901499808437</v>
      </c>
      <c r="G58">
        <f t="shared" si="3"/>
        <v>123.55</v>
      </c>
      <c r="H58">
        <f t="shared" si="13"/>
        <v>69.583201021466394</v>
      </c>
      <c r="I58">
        <v>44.447736814982207</v>
      </c>
      <c r="K58">
        <f t="shared" si="5"/>
        <v>133.08749999999998</v>
      </c>
      <c r="L58">
        <f t="shared" si="14"/>
        <v>47.885553725733828</v>
      </c>
      <c r="M58">
        <v>33.662074601977537</v>
      </c>
      <c r="O58">
        <f t="shared" si="7"/>
        <v>334.56000000000006</v>
      </c>
      <c r="P58">
        <f t="shared" si="15"/>
        <v>-2.5735889247704731</v>
      </c>
      <c r="Q58">
        <v>-47.750178469096483</v>
      </c>
      <c r="S58">
        <f t="shared" si="9"/>
        <v>440.11818181818194</v>
      </c>
      <c r="T58">
        <f t="shared" si="16"/>
        <v>-5.3233202754647655</v>
      </c>
      <c r="U58">
        <v>-57.446234994605405</v>
      </c>
      <c r="W58">
        <f t="shared" si="10"/>
        <v>301.8416666666667</v>
      </c>
      <c r="X58">
        <f t="shared" si="11"/>
        <v>-1.1447050793044242</v>
      </c>
      <c r="Y58">
        <v>-44.074024475553308</v>
      </c>
    </row>
    <row r="59" spans="1:25" x14ac:dyDescent="0.25">
      <c r="A59" s="7">
        <v>46104.954165856485</v>
      </c>
      <c r="B59" s="3">
        <v>145.4</v>
      </c>
      <c r="C59">
        <f t="shared" si="1"/>
        <v>132.19999999999999</v>
      </c>
      <c r="D59">
        <f t="shared" si="12"/>
        <v>49.40207196740063</v>
      </c>
      <c r="E59">
        <v>34.92831706675301</v>
      </c>
      <c r="G59">
        <f t="shared" si="3"/>
        <v>127.73333333333333</v>
      </c>
      <c r="H59">
        <f t="shared" si="13"/>
        <v>58.383767297487353</v>
      </c>
      <c r="I59">
        <v>39.636635400926515</v>
      </c>
      <c r="K59">
        <f t="shared" si="5"/>
        <v>127.33750000000001</v>
      </c>
      <c r="L59">
        <f t="shared" si="14"/>
        <v>59.30919981951871</v>
      </c>
      <c r="M59">
        <v>40.103044110791551</v>
      </c>
      <c r="O59">
        <f t="shared" si="7"/>
        <v>203.82</v>
      </c>
      <c r="P59">
        <f t="shared" si="15"/>
        <v>8.3975304191235569</v>
      </c>
      <c r="Q59">
        <v>-29.817851551809571</v>
      </c>
      <c r="S59">
        <f t="shared" si="9"/>
        <v>402.50000000000006</v>
      </c>
      <c r="T59">
        <f t="shared" si="16"/>
        <v>-4.5616332960280754</v>
      </c>
      <c r="U59">
        <v>-54.048153447364498</v>
      </c>
      <c r="W59">
        <f t="shared" si="10"/>
        <v>303.35833333333335</v>
      </c>
      <c r="X59">
        <f t="shared" si="11"/>
        <v>-1.2209780751672741</v>
      </c>
      <c r="Y59">
        <v>-44.07546695565248</v>
      </c>
    </row>
    <row r="60" spans="1:25" x14ac:dyDescent="0.25">
      <c r="A60" s="7">
        <v>46104.995832465276</v>
      </c>
      <c r="B60" s="3">
        <v>122.4</v>
      </c>
      <c r="C60">
        <f t="shared" si="1"/>
        <v>129.35</v>
      </c>
      <c r="D60">
        <f t="shared" si="12"/>
        <v>54.842528520946686</v>
      </c>
      <c r="E60">
        <v>38.093342022527686</v>
      </c>
      <c r="G60">
        <f t="shared" si="3"/>
        <v>129.25</v>
      </c>
      <c r="H60">
        <f t="shared" si="13"/>
        <v>55.051128298584814</v>
      </c>
      <c r="I60">
        <v>38.202720854592847</v>
      </c>
      <c r="K60">
        <f t="shared" si="5"/>
        <v>126.13749999999999</v>
      </c>
      <c r="L60">
        <f t="shared" si="14"/>
        <v>62.270767294131957</v>
      </c>
      <c r="M60">
        <v>41.882979266848608</v>
      </c>
      <c r="O60">
        <f t="shared" si="7"/>
        <v>133.25</v>
      </c>
      <c r="P60">
        <f t="shared" si="15"/>
        <v>47.616024542735325</v>
      </c>
      <c r="Q60">
        <v>34.187877617498771</v>
      </c>
      <c r="S60">
        <f t="shared" si="9"/>
        <v>317.36363636363643</v>
      </c>
      <c r="T60">
        <f t="shared" si="16"/>
        <v>-1.8755912760242064</v>
      </c>
      <c r="U60">
        <v>-45.596780433400887</v>
      </c>
      <c r="W60">
        <f t="shared" si="10"/>
        <v>303.15416666666664</v>
      </c>
      <c r="X60">
        <f t="shared" si="11"/>
        <v>-1.2107760674334416</v>
      </c>
      <c r="Y60">
        <v>-43.955307849281574</v>
      </c>
    </row>
    <row r="61" spans="1:25" x14ac:dyDescent="0.25">
      <c r="A61" s="7">
        <v>46105.037499999999</v>
      </c>
      <c r="B61" s="3">
        <v>107.4</v>
      </c>
      <c r="C61">
        <f t="shared" si="1"/>
        <v>120.67500000000001</v>
      </c>
      <c r="D61">
        <f t="shared" si="12"/>
        <v>79.618795482524533</v>
      </c>
      <c r="E61">
        <v>50.297575417811444</v>
      </c>
      <c r="G61">
        <f t="shared" si="3"/>
        <v>126.43333333333332</v>
      </c>
      <c r="H61">
        <f t="shared" si="13"/>
        <v>61.517885048783718</v>
      </c>
      <c r="I61">
        <v>41.725423912248601</v>
      </c>
      <c r="K61">
        <f t="shared" si="5"/>
        <v>124.52499999999999</v>
      </c>
      <c r="L61">
        <f t="shared" si="14"/>
        <v>66.66371051509779</v>
      </c>
      <c r="M61">
        <v>44.26521594765174</v>
      </c>
      <c r="O61">
        <f t="shared" si="7"/>
        <v>124.85000000000002</v>
      </c>
      <c r="P61">
        <f t="shared" si="15"/>
        <v>65.736712704441302</v>
      </c>
      <c r="Q61">
        <v>43.814289144772836</v>
      </c>
      <c r="S61">
        <f t="shared" si="9"/>
        <v>196.41818181818181</v>
      </c>
      <c r="T61">
        <f t="shared" si="16"/>
        <v>9.8856080621135387</v>
      </c>
      <c r="U61">
        <v>-28.406519055619338</v>
      </c>
      <c r="W61">
        <f t="shared" si="10"/>
        <v>302.03333333333336</v>
      </c>
      <c r="X61">
        <f t="shared" si="11"/>
        <v>-1.154406400304929</v>
      </c>
      <c r="Y61">
        <v>-43.754901588450466</v>
      </c>
    </row>
    <row r="62" spans="1:25" x14ac:dyDescent="0.25">
      <c r="A62" s="7">
        <v>46105.07916666667</v>
      </c>
      <c r="B62" s="3">
        <v>127.7</v>
      </c>
      <c r="C62">
        <f t="shared" si="1"/>
        <v>125.72500000000001</v>
      </c>
      <c r="D62">
        <f t="shared" si="12"/>
        <v>63.346856354207773</v>
      </c>
      <c r="E62">
        <v>42.513573625117012</v>
      </c>
      <c r="G62">
        <f t="shared" si="3"/>
        <v>125.41666666666667</v>
      </c>
      <c r="H62">
        <f t="shared" si="13"/>
        <v>64.171934871420092</v>
      </c>
      <c r="I62">
        <v>42.920024154159591</v>
      </c>
      <c r="K62">
        <f t="shared" si="5"/>
        <v>126.325</v>
      </c>
      <c r="L62">
        <f t="shared" si="14"/>
        <v>61.791798356475994</v>
      </c>
      <c r="M62">
        <v>41.741055056677837</v>
      </c>
      <c r="O62">
        <f t="shared" si="7"/>
        <v>124.42</v>
      </c>
      <c r="P62">
        <f t="shared" si="15"/>
        <v>66.967976440182824</v>
      </c>
      <c r="Q62">
        <v>44.280329136494771</v>
      </c>
      <c r="S62">
        <f t="shared" si="9"/>
        <v>130.9</v>
      </c>
      <c r="T62">
        <f t="shared" si="16"/>
        <v>51.768704107188967</v>
      </c>
      <c r="U62">
        <v>36.541189087788837</v>
      </c>
      <c r="W62">
        <f t="shared" si="10"/>
        <v>302.42083333333329</v>
      </c>
      <c r="X62">
        <f t="shared" si="11"/>
        <v>-1.1739645214766739</v>
      </c>
      <c r="Y62">
        <v>-43.838503820815312</v>
      </c>
    </row>
    <row r="63" spans="1:25" x14ac:dyDescent="0.25">
      <c r="A63" s="7">
        <v>46105.120833391207</v>
      </c>
      <c r="B63" s="3">
        <v>122.6</v>
      </c>
      <c r="C63">
        <f t="shared" si="1"/>
        <v>120.02500000000001</v>
      </c>
      <c r="D63">
        <f t="shared" si="12"/>
        <v>82.241936547137684</v>
      </c>
      <c r="E63">
        <v>51.3334791085327</v>
      </c>
      <c r="G63">
        <f t="shared" si="3"/>
        <v>122.16666666666669</v>
      </c>
      <c r="H63">
        <f t="shared" si="13"/>
        <v>74.120549515705918</v>
      </c>
      <c r="I63">
        <v>47.67874480722439</v>
      </c>
      <c r="K63">
        <f t="shared" si="5"/>
        <v>126.1125</v>
      </c>
      <c r="L63">
        <f t="shared" si="14"/>
        <v>62.335103225749144</v>
      </c>
      <c r="M63">
        <v>42.037345300109649</v>
      </c>
      <c r="O63">
        <f t="shared" si="7"/>
        <v>124.64999999999998</v>
      </c>
      <c r="P63">
        <f t="shared" si="15"/>
        <v>66.304551655780969</v>
      </c>
      <c r="Q63">
        <v>43.98696866590236</v>
      </c>
      <c r="S63">
        <f t="shared" si="9"/>
        <v>125.10909090909094</v>
      </c>
      <c r="T63">
        <f t="shared" si="16"/>
        <v>65.013311292354089</v>
      </c>
      <c r="U63">
        <v>43.358630643354552</v>
      </c>
      <c r="W63">
        <f t="shared" si="10"/>
        <v>302.10416666666669</v>
      </c>
      <c r="X63">
        <f t="shared" si="11"/>
        <v>-1.1579870725400385</v>
      </c>
      <c r="Y63">
        <v>-43.793079197485426</v>
      </c>
    </row>
    <row r="64" spans="1:25" x14ac:dyDescent="0.25">
      <c r="A64" s="7">
        <v>46105.162500115737</v>
      </c>
      <c r="B64" s="3">
        <v>113.7</v>
      </c>
      <c r="C64">
        <f t="shared" si="1"/>
        <v>117.85000000000001</v>
      </c>
      <c r="D64">
        <f t="shared" si="12"/>
        <v>92.234649818593866</v>
      </c>
      <c r="E64">
        <v>55.639777193382891</v>
      </c>
      <c r="G64">
        <f t="shared" si="3"/>
        <v>123.2</v>
      </c>
      <c r="H64">
        <f t="shared" si="13"/>
        <v>70.685142783134893</v>
      </c>
      <c r="I64">
        <v>46.096561876501049</v>
      </c>
      <c r="K64">
        <f t="shared" si="5"/>
        <v>123.60000000000001</v>
      </c>
      <c r="L64">
        <f t="shared" si="14"/>
        <v>69.428188383526404</v>
      </c>
      <c r="M64">
        <v>45.50212198248164</v>
      </c>
      <c r="O64">
        <f t="shared" si="7"/>
        <v>124.69000000000001</v>
      </c>
      <c r="P64">
        <f t="shared" si="15"/>
        <v>66.190316892211555</v>
      </c>
      <c r="Q64">
        <v>43.948202060274738</v>
      </c>
      <c r="S64">
        <f t="shared" si="9"/>
        <v>124.25454545454545</v>
      </c>
      <c r="T64">
        <f t="shared" si="16"/>
        <v>67.452262686454333</v>
      </c>
      <c r="U64">
        <v>44.557802763451484</v>
      </c>
      <c r="W64">
        <f t="shared" si="10"/>
        <v>301.73333333333329</v>
      </c>
      <c r="X64">
        <f t="shared" si="11"/>
        <v>-1.1392136715299526</v>
      </c>
      <c r="Y64">
        <v>-43.744163470401993</v>
      </c>
    </row>
    <row r="65" spans="1:25" x14ac:dyDescent="0.25">
      <c r="A65" s="7">
        <v>46105.204166840274</v>
      </c>
      <c r="B65" s="3">
        <v>119.1</v>
      </c>
      <c r="C65">
        <f t="shared" si="1"/>
        <v>120.77500000000001</v>
      </c>
      <c r="D65">
        <f t="shared" si="12"/>
        <v>79.228209450121156</v>
      </c>
      <c r="E65">
        <v>50.154865766429836</v>
      </c>
      <c r="G65">
        <f t="shared" si="3"/>
        <v>118.81666666666668</v>
      </c>
      <c r="H65">
        <f t="shared" si="13"/>
        <v>87.542327621829543</v>
      </c>
      <c r="I65">
        <v>53.808307901318784</v>
      </c>
      <c r="K65">
        <f t="shared" si="5"/>
        <v>120.72500000000002</v>
      </c>
      <c r="L65">
        <f t="shared" si="14"/>
        <v>79.423082999835685</v>
      </c>
      <c r="M65">
        <v>50.242387230770426</v>
      </c>
      <c r="O65">
        <f t="shared" si="7"/>
        <v>124.16999999999999</v>
      </c>
      <c r="P65">
        <f t="shared" si="15"/>
        <v>67.70204266573711</v>
      </c>
      <c r="Q65">
        <v>44.794443116605308</v>
      </c>
      <c r="S65">
        <f t="shared" si="9"/>
        <v>123.65454545454544</v>
      </c>
      <c r="T65">
        <f t="shared" si="16"/>
        <v>69.259758250150057</v>
      </c>
      <c r="U65">
        <v>45.541477116323847</v>
      </c>
      <c r="W65">
        <f t="shared" si="10"/>
        <v>301.68333333333334</v>
      </c>
      <c r="X65">
        <f t="shared" si="11"/>
        <v>-1.1366772107841858</v>
      </c>
      <c r="Y65">
        <v>-43.705561516020481</v>
      </c>
    </row>
    <row r="66" spans="1:25" x14ac:dyDescent="0.25">
      <c r="A66" s="7">
        <v>46105.245833564812</v>
      </c>
      <c r="B66" s="3">
        <v>129.5</v>
      </c>
      <c r="C66">
        <f t="shared" si="1"/>
        <v>121.22499999999999</v>
      </c>
      <c r="D66">
        <f t="shared" si="12"/>
        <v>77.511226286685257</v>
      </c>
      <c r="E66">
        <v>49.599509840248615</v>
      </c>
      <c r="G66">
        <f t="shared" si="3"/>
        <v>120</v>
      </c>
      <c r="H66">
        <f t="shared" si="13"/>
        <v>82.345846077584227</v>
      </c>
      <c r="I66">
        <v>51.778875267838785</v>
      </c>
      <c r="K66">
        <f t="shared" si="5"/>
        <v>123.47500000000001</v>
      </c>
      <c r="L66">
        <f t="shared" si="14"/>
        <v>69.816836623703594</v>
      </c>
      <c r="M66">
        <v>46.003540676217554</v>
      </c>
      <c r="O66">
        <f t="shared" si="7"/>
        <v>123.74000000000001</v>
      </c>
      <c r="P66">
        <f t="shared" si="15"/>
        <v>68.997289360816538</v>
      </c>
      <c r="Q66">
        <v>45.610444468867676</v>
      </c>
      <c r="S66">
        <f t="shared" si="9"/>
        <v>124.18181818181819</v>
      </c>
      <c r="T66">
        <f t="shared" si="16"/>
        <v>67.667032206089871</v>
      </c>
      <c r="U66">
        <v>44.967973619620174</v>
      </c>
      <c r="W66">
        <f t="shared" si="10"/>
        <v>302.61250000000001</v>
      </c>
      <c r="X66">
        <f t="shared" si="11"/>
        <v>-1.1836111222583017</v>
      </c>
      <c r="Y66">
        <v>-43.76314892430149</v>
      </c>
    </row>
    <row r="67" spans="1:25" x14ac:dyDescent="0.25">
      <c r="A67" s="7">
        <v>46105.287500289349</v>
      </c>
      <c r="B67" s="3">
        <v>111</v>
      </c>
      <c r="C67">
        <f t="shared" si="1"/>
        <v>118.325</v>
      </c>
      <c r="D67">
        <f t="shared" si="12"/>
        <v>89.874643353706006</v>
      </c>
      <c r="E67">
        <v>55.267157554352906</v>
      </c>
      <c r="G67">
        <f t="shared" si="3"/>
        <v>120.60000000000001</v>
      </c>
      <c r="H67">
        <f t="shared" si="13"/>
        <v>79.913949094888068</v>
      </c>
      <c r="I67">
        <v>50.86697967424395</v>
      </c>
      <c r="K67">
        <f t="shared" si="5"/>
        <v>119.17500000000001</v>
      </c>
      <c r="L67">
        <f t="shared" si="14"/>
        <v>85.908999169431695</v>
      </c>
      <c r="M67">
        <v>53.541616723729902</v>
      </c>
      <c r="O67">
        <f t="shared" si="7"/>
        <v>120.63000000000002</v>
      </c>
      <c r="P67">
        <f t="shared" si="15"/>
        <v>79.795658490829922</v>
      </c>
      <c r="Q67">
        <v>50.813350942611692</v>
      </c>
      <c r="S67">
        <f t="shared" si="9"/>
        <v>124.65454545454544</v>
      </c>
      <c r="T67">
        <f t="shared" si="16"/>
        <v>66.291553517088062</v>
      </c>
      <c r="U67">
        <v>44.442838259647672</v>
      </c>
      <c r="W67">
        <f t="shared" si="10"/>
        <v>302.51249999999999</v>
      </c>
      <c r="X67">
        <f t="shared" si="11"/>
        <v>-1.1785803629604228</v>
      </c>
      <c r="Y67">
        <v>-43.710434970034214</v>
      </c>
    </row>
    <row r="68" spans="1:25" x14ac:dyDescent="0.25">
      <c r="A68" s="7">
        <v>46105.329861111109</v>
      </c>
      <c r="B68" s="3">
        <v>120.2</v>
      </c>
      <c r="C68">
        <f t="shared" si="1"/>
        <v>119.95</v>
      </c>
      <c r="D68">
        <f t="shared" si="12"/>
        <v>82.554357753587638</v>
      </c>
      <c r="E68">
        <v>49.441125053652968</v>
      </c>
      <c r="G68">
        <f t="shared" si="3"/>
        <v>119.35000000000001</v>
      </c>
      <c r="H68">
        <f t="shared" si="13"/>
        <v>85.130749621641044</v>
      </c>
      <c r="I68">
        <v>50.496117803474228</v>
      </c>
      <c r="K68">
        <f t="shared" si="5"/>
        <v>118.9</v>
      </c>
      <c r="L68">
        <f t="shared" si="14"/>
        <v>87.157614851730642</v>
      </c>
      <c r="M68">
        <v>51.314893283545658</v>
      </c>
      <c r="O68">
        <f t="shared" si="7"/>
        <v>121.90000000000002</v>
      </c>
      <c r="P68">
        <f t="shared" si="15"/>
        <v>75.054236862165283</v>
      </c>
      <c r="Q68">
        <v>46.272469610543801</v>
      </c>
      <c r="S68">
        <f t="shared" si="9"/>
        <v>122.58181818181819</v>
      </c>
      <c r="T68">
        <f t="shared" si="16"/>
        <v>72.706397411772926</v>
      </c>
      <c r="U68">
        <v>45.248416087827984</v>
      </c>
      <c r="W68">
        <f t="shared" si="10"/>
        <v>302.48333333333335</v>
      </c>
      <c r="X68">
        <f t="shared" si="11"/>
        <v>-1.1771121338110535</v>
      </c>
      <c r="Y68">
        <v>-44.322876204020119</v>
      </c>
    </row>
    <row r="69" spans="1:25" x14ac:dyDescent="0.25">
      <c r="A69" s="7">
        <v>46105.371527777781</v>
      </c>
      <c r="B69" s="3">
        <v>127.7</v>
      </c>
      <c r="C69">
        <f t="shared" si="1"/>
        <v>122.1</v>
      </c>
      <c r="D69">
        <f t="shared" ref="D69:D100" si="17">(($AA$4/((C69/$AD$4)-$AB$4))-$AC$4)*100</f>
        <v>74.352077750396688</v>
      </c>
      <c r="E69">
        <v>43.016740829124352</v>
      </c>
      <c r="G69">
        <f t="shared" si="3"/>
        <v>120.2</v>
      </c>
      <c r="H69">
        <f t="shared" si="13"/>
        <v>81.520963215934373</v>
      </c>
      <c r="I69">
        <v>45.782344259346992</v>
      </c>
      <c r="K69">
        <f t="shared" si="5"/>
        <v>121.43750000000001</v>
      </c>
      <c r="L69">
        <f t="shared" si="14"/>
        <v>76.722818247214079</v>
      </c>
      <c r="M69">
        <v>43.947547542929279</v>
      </c>
      <c r="O69">
        <f t="shared" si="7"/>
        <v>120.13000000000002</v>
      </c>
      <c r="P69">
        <f t="shared" si="15"/>
        <v>81.808017632681</v>
      </c>
      <c r="Q69">
        <v>45.890116167753746</v>
      </c>
      <c r="S69">
        <f t="shared" si="9"/>
        <v>120.59090909090911</v>
      </c>
      <c r="T69">
        <f t="shared" si="16"/>
        <v>79.949855275141758</v>
      </c>
      <c r="U69">
        <v>45.188564335102839</v>
      </c>
      <c r="W69">
        <f t="shared" si="10"/>
        <v>296.45833333333331</v>
      </c>
      <c r="X69">
        <f t="shared" si="11"/>
        <v>-0.86459139719659994</v>
      </c>
      <c r="Y69">
        <v>-44.492334060181932</v>
      </c>
    </row>
    <row r="70" spans="1:25" x14ac:dyDescent="0.25">
      <c r="A70" s="7">
        <v>46105.413194502318</v>
      </c>
      <c r="B70" s="3">
        <v>178.9</v>
      </c>
      <c r="C70">
        <f t="shared" ref="C70:C133" si="18">AVERAGE(B67:B70)</f>
        <v>134.44999999999999</v>
      </c>
      <c r="D70">
        <f t="shared" si="17"/>
        <v>45.698941792271818</v>
      </c>
      <c r="E70">
        <v>28.325657003666581</v>
      </c>
      <c r="G70">
        <f t="shared" si="3"/>
        <v>131.06666666666666</v>
      </c>
      <c r="H70">
        <f t="shared" si="13"/>
        <v>51.455061726737803</v>
      </c>
      <c r="I70">
        <v>30.970362008197476</v>
      </c>
      <c r="K70">
        <f t="shared" si="5"/>
        <v>127.83750000000001</v>
      </c>
      <c r="L70">
        <f t="shared" si="14"/>
        <v>58.144239085771268</v>
      </c>
      <c r="M70">
        <v>33.859151430695078</v>
      </c>
      <c r="O70">
        <f t="shared" si="7"/>
        <v>125.78000000000002</v>
      </c>
      <c r="P70">
        <f t="shared" si="15"/>
        <v>63.201567477179225</v>
      </c>
      <c r="Q70">
        <v>35.923639083535072</v>
      </c>
      <c r="S70">
        <f t="shared" si="9"/>
        <v>122.42727272727275</v>
      </c>
      <c r="T70">
        <f t="shared" si="16"/>
        <v>73.227341726760926</v>
      </c>
      <c r="U70">
        <v>39.747101121593097</v>
      </c>
      <c r="W70">
        <f t="shared" si="10"/>
        <v>269.76666666666665</v>
      </c>
      <c r="X70">
        <f t="shared" si="11"/>
        <v>0.78278623309211703</v>
      </c>
      <c r="Y70">
        <v>-42.10343652148282</v>
      </c>
    </row>
    <row r="71" spans="1:25" x14ac:dyDescent="0.25">
      <c r="A71" s="20">
        <v>46105.454861226855</v>
      </c>
      <c r="B71" s="4">
        <v>309.5</v>
      </c>
      <c r="C71">
        <f t="shared" si="18"/>
        <v>184.07499999999999</v>
      </c>
      <c r="D71">
        <f t="shared" si="17"/>
        <v>12.932708275141398</v>
      </c>
      <c r="E71">
        <v>-29.236848562014263</v>
      </c>
      <c r="G71">
        <f t="shared" si="3"/>
        <v>162.79999999999998</v>
      </c>
      <c r="H71">
        <f t="shared" ref="H71:H102" si="19">(($AA$4/((G71/$AD$4)-$AB$4))-$AC$4)*100</f>
        <v>20.886436366347244</v>
      </c>
      <c r="I71">
        <v>14.21102750501039</v>
      </c>
      <c r="K71">
        <f t="shared" si="5"/>
        <v>151.19999999999999</v>
      </c>
      <c r="L71">
        <f t="shared" si="14"/>
        <v>27.875395086047778</v>
      </c>
      <c r="M71">
        <v>18.087705059807661</v>
      </c>
      <c r="O71">
        <f t="shared" si="7"/>
        <v>145.99</v>
      </c>
      <c r="P71">
        <f t="shared" si="15"/>
        <v>32.101394427255741</v>
      </c>
      <c r="Q71">
        <v>20.313883595087511</v>
      </c>
      <c r="S71">
        <f t="shared" si="9"/>
        <v>125.4727272727273</v>
      </c>
      <c r="T71">
        <f t="shared" si="16"/>
        <v>64.020570282243881</v>
      </c>
      <c r="U71">
        <v>34.290404165739169</v>
      </c>
      <c r="W71">
        <f t="shared" si="10"/>
        <v>260.94166666666666</v>
      </c>
      <c r="X71">
        <f t="shared" si="11"/>
        <v>1.4457748239013732</v>
      </c>
      <c r="Y71">
        <v>-41.827903318392131</v>
      </c>
    </row>
    <row r="72" spans="1:25" x14ac:dyDescent="0.25">
      <c r="A72" s="20">
        <v>46105.495833912035</v>
      </c>
      <c r="B72" s="4">
        <v>397.5</v>
      </c>
      <c r="C72">
        <f t="shared" si="18"/>
        <v>253.4</v>
      </c>
      <c r="D72">
        <f t="shared" si="17"/>
        <v>2.0718112317731117</v>
      </c>
      <c r="E72">
        <v>-41.756365885959355</v>
      </c>
      <c r="G72">
        <f t="shared" ref="G72:G122" si="20">AVERAGE(B67:B72)</f>
        <v>207.46666666666667</v>
      </c>
      <c r="H72">
        <f t="shared" si="19"/>
        <v>7.7380194803308804</v>
      </c>
      <c r="I72">
        <v>-34.422994563217514</v>
      </c>
      <c r="K72">
        <f t="shared" si="5"/>
        <v>186.67500000000001</v>
      </c>
      <c r="L72">
        <f t="shared" si="14"/>
        <v>12.220773506877759</v>
      </c>
      <c r="M72">
        <v>-30.633910582964969</v>
      </c>
      <c r="O72">
        <f t="shared" si="7"/>
        <v>172.97</v>
      </c>
      <c r="P72">
        <f t="shared" si="15"/>
        <v>16.525290283503839</v>
      </c>
      <c r="Q72">
        <v>-28.000781094706639</v>
      </c>
      <c r="S72">
        <f t="shared" si="9"/>
        <v>142.4818181818182</v>
      </c>
      <c r="T72">
        <f t="shared" si="16"/>
        <v>35.497857783315908</v>
      </c>
      <c r="U72">
        <v>20.91477572747268</v>
      </c>
      <c r="W72">
        <f t="shared" si="10"/>
        <v>232.42499999999998</v>
      </c>
      <c r="X72">
        <f t="shared" si="11"/>
        <v>4.1808007142098216</v>
      </c>
      <c r="Y72">
        <v>-38.583556218668839</v>
      </c>
    </row>
    <row r="73" spans="1:25" x14ac:dyDescent="0.25">
      <c r="A73" s="20">
        <v>46105.537500636572</v>
      </c>
      <c r="B73" s="4">
        <v>268.39999999999998</v>
      </c>
      <c r="C73">
        <f t="shared" si="18"/>
        <v>288.57499999999999</v>
      </c>
      <c r="D73">
        <f t="shared" si="17"/>
        <v>-0.4259212544606969</v>
      </c>
      <c r="E73">
        <v>-46.996768948018122</v>
      </c>
      <c r="G73">
        <f t="shared" si="20"/>
        <v>233.69999999999996</v>
      </c>
      <c r="H73">
        <f t="shared" si="19"/>
        <v>4.0340669725935179</v>
      </c>
      <c r="I73">
        <v>-39.281372459981959</v>
      </c>
      <c r="K73">
        <f t="shared" si="5"/>
        <v>205.33749999999998</v>
      </c>
      <c r="L73">
        <f t="shared" ref="L73:L104" si="21">(($AA$4/((K73/$AD$4)-$AB$4))-$AC$4)*100</f>
        <v>8.1176698601665667</v>
      </c>
      <c r="M73">
        <v>-34.528725585667566</v>
      </c>
      <c r="O73">
        <f t="shared" si="7"/>
        <v>187.55</v>
      </c>
      <c r="P73">
        <f t="shared" si="15"/>
        <v>11.990420392972505</v>
      </c>
      <c r="Q73">
        <v>-31.260237599010122</v>
      </c>
      <c r="S73">
        <f t="shared" si="9"/>
        <v>168.85454545454547</v>
      </c>
      <c r="T73">
        <f t="shared" si="16"/>
        <v>18.140464340811146</v>
      </c>
      <c r="U73">
        <v>-27.623968408590883</v>
      </c>
      <c r="W73">
        <f t="shared" si="10"/>
        <v>183.07499999999996</v>
      </c>
      <c r="X73">
        <f t="shared" si="11"/>
        <v>13.218041314064788</v>
      </c>
      <c r="Y73">
        <v>-30.405974715164959</v>
      </c>
    </row>
    <row r="74" spans="1:25" x14ac:dyDescent="0.25">
      <c r="A74" s="7">
        <v>46105.579167361109</v>
      </c>
      <c r="B74" s="3">
        <v>119.5</v>
      </c>
      <c r="C74">
        <f t="shared" si="18"/>
        <v>273.72500000000002</v>
      </c>
      <c r="D74">
        <f t="shared" si="17"/>
        <v>0.50697666870596347</v>
      </c>
      <c r="E74">
        <v>-45.208011256576754</v>
      </c>
      <c r="G74">
        <f t="shared" si="20"/>
        <v>233.58333333333334</v>
      </c>
      <c r="H74">
        <f t="shared" si="19"/>
        <v>4.047379348013437</v>
      </c>
      <c r="I74">
        <v>-39.389296727213342</v>
      </c>
      <c r="K74">
        <f t="shared" ref="K74:K122" si="22">AVERAGE(B67:B74)</f>
        <v>204.08749999999998</v>
      </c>
      <c r="L74">
        <f t="shared" si="21"/>
        <v>8.3476192455050651</v>
      </c>
      <c r="M74">
        <v>-34.428145771310419</v>
      </c>
      <c r="O74">
        <f t="shared" si="7"/>
        <v>188.13000000000002</v>
      </c>
      <c r="P74">
        <f t="shared" si="15"/>
        <v>11.840179081787529</v>
      </c>
      <c r="Q74">
        <v>-31.487786002179856</v>
      </c>
      <c r="S74">
        <f t="shared" si="9"/>
        <v>181.64545454545453</v>
      </c>
      <c r="T74">
        <f t="shared" si="16"/>
        <v>13.63770760991615</v>
      </c>
      <c r="U74">
        <v>-30.245999655654792</v>
      </c>
      <c r="W74">
        <f t="shared" si="10"/>
        <v>153.54999999999998</v>
      </c>
      <c r="X74">
        <f t="shared" si="11"/>
        <v>26.226090060223772</v>
      </c>
      <c r="Y74">
        <v>15.83855621534355</v>
      </c>
    </row>
    <row r="75" spans="1:25" x14ac:dyDescent="0.25">
      <c r="A75" s="7">
        <v>46105.620834085646</v>
      </c>
      <c r="B75" s="3">
        <v>118.1</v>
      </c>
      <c r="C75">
        <f t="shared" si="18"/>
        <v>225.875</v>
      </c>
      <c r="D75">
        <f t="shared" si="17"/>
        <v>4.9805379505797154</v>
      </c>
      <c r="E75">
        <v>-35.878558459168232</v>
      </c>
      <c r="G75">
        <f t="shared" si="20"/>
        <v>231.98333333333332</v>
      </c>
      <c r="H75">
        <f t="shared" si="19"/>
        <v>4.2322786218953006</v>
      </c>
      <c r="I75">
        <v>-36.84983570956966</v>
      </c>
      <c r="K75">
        <f t="shared" si="22"/>
        <v>204.97499999999997</v>
      </c>
      <c r="L75">
        <f t="shared" si="21"/>
        <v>8.183804787446384</v>
      </c>
      <c r="M75">
        <v>-32.376741158702636</v>
      </c>
      <c r="O75">
        <f t="shared" si="7"/>
        <v>188.02999999999997</v>
      </c>
      <c r="P75">
        <f t="shared" ref="P75:P106" si="23">(($AA$4/((O75/$AD$4)-$AB$4))-$AC$4)*100</f>
        <v>11.865945493483721</v>
      </c>
      <c r="Q75">
        <v>-29.347974800185302</v>
      </c>
      <c r="S75">
        <f t="shared" si="9"/>
        <v>181.36363636363637</v>
      </c>
      <c r="T75">
        <f t="shared" si="16"/>
        <v>13.722127112262344</v>
      </c>
      <c r="U75">
        <v>-28.118483048940679</v>
      </c>
      <c r="W75">
        <f t="shared" si="10"/>
        <v>150.49583333333334</v>
      </c>
      <c r="X75">
        <f t="shared" si="11"/>
        <v>28.398054168213356</v>
      </c>
      <c r="Y75">
        <v>19.08534318577162</v>
      </c>
    </row>
    <row r="76" spans="1:25" x14ac:dyDescent="0.25">
      <c r="A76" s="7">
        <v>46105.662500810184</v>
      </c>
      <c r="B76" s="3">
        <v>118.4</v>
      </c>
      <c r="C76">
        <f t="shared" si="18"/>
        <v>156.1</v>
      </c>
      <c r="D76">
        <f t="shared" si="17"/>
        <v>24.585929832753838</v>
      </c>
      <c r="E76">
        <v>15.59568273501257</v>
      </c>
      <c r="G76">
        <f t="shared" si="20"/>
        <v>221.9</v>
      </c>
      <c r="H76">
        <f t="shared" si="19"/>
        <v>5.5069193912586982</v>
      </c>
      <c r="I76">
        <v>-36.72196424907866</v>
      </c>
      <c r="K76">
        <f t="shared" si="22"/>
        <v>204.75</v>
      </c>
      <c r="L76">
        <f t="shared" si="21"/>
        <v>8.2250788019835781</v>
      </c>
      <c r="M76">
        <v>-33.788267744226502</v>
      </c>
      <c r="O76">
        <f t="shared" si="7"/>
        <v>186.92</v>
      </c>
      <c r="P76">
        <f t="shared" si="23"/>
        <v>12.155820487322471</v>
      </c>
      <c r="Q76">
        <v>-30.530801784264071</v>
      </c>
      <c r="S76">
        <f t="shared" si="9"/>
        <v>181.76363636363638</v>
      </c>
      <c r="T76">
        <f t="shared" si="16"/>
        <v>13.602473828234141</v>
      </c>
      <c r="U76">
        <v>-29.55381159713939</v>
      </c>
      <c r="W76">
        <f t="shared" si="10"/>
        <v>149.92916666666667</v>
      </c>
      <c r="X76">
        <f t="shared" si="11"/>
        <v>28.828840100119642</v>
      </c>
      <c r="Y76">
        <v>17.801390336451981</v>
      </c>
    </row>
    <row r="77" spans="1:25" x14ac:dyDescent="0.25">
      <c r="A77" s="7">
        <v>46105.704167476855</v>
      </c>
      <c r="B77" s="10">
        <v>141.19999999999999</v>
      </c>
      <c r="C77">
        <f t="shared" si="18"/>
        <v>124.3</v>
      </c>
      <c r="D77">
        <f t="shared" si="17"/>
        <v>67.318622479661656</v>
      </c>
      <c r="E77">
        <v>35.645417561312598</v>
      </c>
      <c r="G77">
        <f t="shared" si="20"/>
        <v>193.85</v>
      </c>
      <c r="H77">
        <f t="shared" si="19"/>
        <v>10.455317602959772</v>
      </c>
      <c r="I77">
        <v>-30.971608215090203</v>
      </c>
      <c r="K77">
        <f t="shared" si="22"/>
        <v>206.4375</v>
      </c>
      <c r="L77">
        <f t="shared" si="21"/>
        <v>7.9196774611999325</v>
      </c>
      <c r="M77">
        <v>-33.213515062187547</v>
      </c>
      <c r="O77">
        <f t="shared" ref="O77:O122" si="24">AVERAGE(B68:B77)</f>
        <v>189.94</v>
      </c>
      <c r="P77">
        <f t="shared" si="23"/>
        <v>11.383437634599249</v>
      </c>
      <c r="Q77">
        <v>-30.256560668815407</v>
      </c>
      <c r="S77">
        <f t="shared" si="9"/>
        <v>181.7</v>
      </c>
      <c r="T77">
        <f t="shared" ref="T77:T108" si="25">(($AA$4/((S77/$AD$4)-$AB$4))-$AC$4)*100</f>
        <v>13.621433582121833</v>
      </c>
      <c r="U77">
        <v>-28.724656023981083</v>
      </c>
      <c r="W77">
        <f t="shared" si="10"/>
        <v>150.79999999999998</v>
      </c>
      <c r="X77">
        <f t="shared" si="11"/>
        <v>28.170597603697168</v>
      </c>
      <c r="Y77">
        <v>18.320749753860319</v>
      </c>
    </row>
    <row r="78" spans="1:25" x14ac:dyDescent="0.25">
      <c r="A78" s="7">
        <v>46105.745834201392</v>
      </c>
      <c r="B78" s="10">
        <v>126.6</v>
      </c>
      <c r="C78">
        <f t="shared" si="18"/>
        <v>126.07499999999999</v>
      </c>
      <c r="D78">
        <f t="shared" si="17"/>
        <v>62.431817802856756</v>
      </c>
      <c r="E78">
        <v>37.319201515663039</v>
      </c>
      <c r="G78">
        <f t="shared" si="20"/>
        <v>148.69999999999999</v>
      </c>
      <c r="H78">
        <f t="shared" si="19"/>
        <v>29.796005951216493</v>
      </c>
      <c r="I78">
        <v>21.049069393770008</v>
      </c>
      <c r="K78">
        <f t="shared" si="22"/>
        <v>199.9</v>
      </c>
      <c r="L78">
        <f t="shared" si="21"/>
        <v>9.1588332287500691</v>
      </c>
      <c r="M78">
        <v>-30.573777452097723</v>
      </c>
      <c r="O78">
        <f t="shared" si="24"/>
        <v>190.57999999999998</v>
      </c>
      <c r="P78">
        <f t="shared" si="23"/>
        <v>11.226186349865701</v>
      </c>
      <c r="Q78">
        <v>-28.924926929128702</v>
      </c>
      <c r="S78">
        <f t="shared" ref="S78:S122" si="26">AVERAGE(B67:B77)</f>
        <v>182.76363636363635</v>
      </c>
      <c r="T78">
        <f t="shared" si="25"/>
        <v>13.308249190339632</v>
      </c>
      <c r="U78">
        <v>-27.514992762772028</v>
      </c>
      <c r="W78">
        <f t="shared" si="10"/>
        <v>151.35416666666666</v>
      </c>
      <c r="X78">
        <f t="shared" si="11"/>
        <v>27.762788718744847</v>
      </c>
      <c r="Y78">
        <v>19.851319724378779</v>
      </c>
    </row>
    <row r="79" spans="1:25" x14ac:dyDescent="0.25">
      <c r="A79" s="7">
        <v>46105.788194444445</v>
      </c>
      <c r="B79" s="10">
        <v>149.9</v>
      </c>
      <c r="C79">
        <f t="shared" si="18"/>
        <v>134.02500000000001</v>
      </c>
      <c r="D79">
        <f t="shared" si="17"/>
        <v>46.363523213781413</v>
      </c>
      <c r="E79">
        <v>31.924869523065851</v>
      </c>
      <c r="G79">
        <f t="shared" si="20"/>
        <v>128.94999999999999</v>
      </c>
      <c r="H79">
        <f t="shared" si="19"/>
        <v>55.6848733465892</v>
      </c>
      <c r="I79">
        <v>36.67953914119385</v>
      </c>
      <c r="K79">
        <f t="shared" si="22"/>
        <v>179.95</v>
      </c>
      <c r="L79">
        <f t="shared" si="21"/>
        <v>14.154288327636323</v>
      </c>
      <c r="M79">
        <v>-26.176378051300802</v>
      </c>
      <c r="O79">
        <f t="shared" si="24"/>
        <v>192.8</v>
      </c>
      <c r="P79">
        <f t="shared" si="23"/>
        <v>10.697081415907487</v>
      </c>
      <c r="Q79">
        <v>-28.450380864800138</v>
      </c>
      <c r="S79">
        <f t="shared" si="26"/>
        <v>184.18181818181816</v>
      </c>
      <c r="T79">
        <f t="shared" si="25"/>
        <v>12.902618453110298</v>
      </c>
      <c r="U79">
        <v>-26.929587140677409</v>
      </c>
      <c r="W79">
        <f t="shared" si="10"/>
        <v>152.42083333333332</v>
      </c>
      <c r="X79">
        <f t="shared" si="11"/>
        <v>27.000976369805109</v>
      </c>
      <c r="Y79">
        <v>20.622070116734832</v>
      </c>
    </row>
    <row r="80" spans="1:25" x14ac:dyDescent="0.25">
      <c r="A80" s="7">
        <v>46105.829861111109</v>
      </c>
      <c r="B80" s="10">
        <v>117.8</v>
      </c>
      <c r="C80">
        <f t="shared" si="18"/>
        <v>133.87499999999997</v>
      </c>
      <c r="D80">
        <f t="shared" si="17"/>
        <v>46.601783684941168</v>
      </c>
      <c r="E80">
        <v>33.200867049020786</v>
      </c>
      <c r="G80">
        <f t="shared" si="20"/>
        <v>128.66666666666666</v>
      </c>
      <c r="H80">
        <f t="shared" si="19"/>
        <v>56.294593617676981</v>
      </c>
      <c r="I80">
        <v>38.348405774174502</v>
      </c>
      <c r="K80">
        <f t="shared" si="22"/>
        <v>144.98749999999998</v>
      </c>
      <c r="L80">
        <f t="shared" si="21"/>
        <v>33.020815102252818</v>
      </c>
      <c r="M80">
        <v>25.204352620537989</v>
      </c>
      <c r="O80">
        <f t="shared" si="24"/>
        <v>186.69</v>
      </c>
      <c r="P80">
        <f t="shared" si="23"/>
        <v>12.216786542557463</v>
      </c>
      <c r="Q80">
        <v>-26.93433730077502</v>
      </c>
      <c r="S80">
        <f t="shared" si="26"/>
        <v>186.88181818181818</v>
      </c>
      <c r="T80">
        <f t="shared" si="25"/>
        <v>12.165919627605916</v>
      </c>
      <c r="U80">
        <v>-26.967925538313832</v>
      </c>
      <c r="W80">
        <f t="shared" si="10"/>
        <v>151.75416666666669</v>
      </c>
      <c r="X80">
        <f t="shared" si="11"/>
        <v>27.47360217512486</v>
      </c>
      <c r="Y80">
        <v>21.639104941237918</v>
      </c>
    </row>
    <row r="81" spans="1:25" x14ac:dyDescent="0.25">
      <c r="A81" s="7">
        <v>46105.871527662035</v>
      </c>
      <c r="B81" s="10">
        <v>119.7</v>
      </c>
      <c r="C81">
        <f t="shared" si="18"/>
        <v>128.5</v>
      </c>
      <c r="D81">
        <f t="shared" si="17"/>
        <v>56.658449931114532</v>
      </c>
      <c r="E81">
        <v>38.02199825316049</v>
      </c>
      <c r="G81">
        <f t="shared" si="20"/>
        <v>128.93333333333334</v>
      </c>
      <c r="H81">
        <f t="shared" si="19"/>
        <v>55.720435493574549</v>
      </c>
      <c r="I81">
        <v>37.55117386260315</v>
      </c>
      <c r="K81">
        <f t="shared" si="22"/>
        <v>126.39999999999999</v>
      </c>
      <c r="L81">
        <f t="shared" si="21"/>
        <v>61.601947750124829</v>
      </c>
      <c r="M81">
        <v>40.446003600127064</v>
      </c>
      <c r="O81">
        <f t="shared" si="24"/>
        <v>167.70999999999998</v>
      </c>
      <c r="P81">
        <f t="shared" si="23"/>
        <v>18.62328605350843</v>
      </c>
      <c r="Q81">
        <v>15.414138156926821</v>
      </c>
      <c r="S81">
        <f t="shared" si="26"/>
        <v>185.98181818181817</v>
      </c>
      <c r="T81">
        <f t="shared" si="25"/>
        <v>12.406493340349147</v>
      </c>
      <c r="U81">
        <v>-26.968483130947206</v>
      </c>
      <c r="W81">
        <f t="shared" si="10"/>
        <v>150.82083333333335</v>
      </c>
      <c r="X81">
        <f t="shared" si="11"/>
        <v>28.155113249451126</v>
      </c>
      <c r="Y81">
        <v>21.816510821912193</v>
      </c>
    </row>
    <row r="82" spans="1:25" x14ac:dyDescent="0.25">
      <c r="A82" s="7">
        <v>46105.913194270834</v>
      </c>
      <c r="B82" s="10">
        <v>120.9</v>
      </c>
      <c r="C82">
        <f t="shared" si="18"/>
        <v>127.07499999999999</v>
      </c>
      <c r="D82">
        <f t="shared" si="17"/>
        <v>59.936543934533468</v>
      </c>
      <c r="E82">
        <v>40.079666606734129</v>
      </c>
      <c r="G82">
        <f t="shared" si="20"/>
        <v>129.35</v>
      </c>
      <c r="H82">
        <f t="shared" si="19"/>
        <v>54.842528520946686</v>
      </c>
      <c r="I82">
        <v>37.510992723629023</v>
      </c>
      <c r="K82">
        <f t="shared" si="22"/>
        <v>126.57499999999999</v>
      </c>
      <c r="L82">
        <f t="shared" si="21"/>
        <v>61.162764958095607</v>
      </c>
      <c r="M82">
        <v>40.682996115483512</v>
      </c>
      <c r="O82">
        <f t="shared" si="24"/>
        <v>140.05000000000001</v>
      </c>
      <c r="P82">
        <f t="shared" si="23"/>
        <v>38.180491940551754</v>
      </c>
      <c r="Q82">
        <v>28.294886833093656</v>
      </c>
      <c r="S82">
        <f t="shared" si="26"/>
        <v>180.60000000000002</v>
      </c>
      <c r="T82">
        <f t="shared" si="25"/>
        <v>13.953752697565386</v>
      </c>
      <c r="U82">
        <v>11.631492603151599</v>
      </c>
      <c r="W82">
        <f t="shared" si="10"/>
        <v>151.37916666666669</v>
      </c>
      <c r="X82">
        <f t="shared" si="11"/>
        <v>27.744588888630496</v>
      </c>
      <c r="Y82">
        <v>21.767883540529269</v>
      </c>
    </row>
    <row r="83" spans="1:25" x14ac:dyDescent="0.25">
      <c r="A83" s="7">
        <v>46105.954860879632</v>
      </c>
      <c r="B83" s="10">
        <v>113.4</v>
      </c>
      <c r="C83">
        <f t="shared" si="18"/>
        <v>117.94999999999999</v>
      </c>
      <c r="D83">
        <f t="shared" si="17"/>
        <v>91.728719409611628</v>
      </c>
      <c r="E83">
        <v>53.687716223061166</v>
      </c>
      <c r="G83">
        <f t="shared" si="20"/>
        <v>124.71666666666665</v>
      </c>
      <c r="H83">
        <f t="shared" si="19"/>
        <v>66.114346559370247</v>
      </c>
      <c r="I83">
        <v>42.682129815581774</v>
      </c>
      <c r="K83">
        <f t="shared" si="22"/>
        <v>125.9875</v>
      </c>
      <c r="L83">
        <f t="shared" si="21"/>
        <v>62.658473488401143</v>
      </c>
      <c r="M83">
        <v>41.049070913039529</v>
      </c>
      <c r="O83">
        <f t="shared" si="24"/>
        <v>124.55</v>
      </c>
      <c r="P83">
        <f t="shared" si="23"/>
        <v>66.591613717909809</v>
      </c>
      <c r="Q83">
        <v>42.904440088718424</v>
      </c>
      <c r="S83">
        <f t="shared" si="26"/>
        <v>163.45454545454547</v>
      </c>
      <c r="T83">
        <f t="shared" si="25"/>
        <v>20.565288878028436</v>
      </c>
      <c r="U83">
        <v>16.789200272365402</v>
      </c>
      <c r="W83">
        <f t="shared" si="10"/>
        <v>150.04583333333335</v>
      </c>
      <c r="X83">
        <f t="shared" si="11"/>
        <v>28.739390107472406</v>
      </c>
      <c r="Y83">
        <v>22.24058794062875</v>
      </c>
    </row>
    <row r="84" spans="1:25" x14ac:dyDescent="0.25">
      <c r="A84" s="7">
        <v>46105.996527488423</v>
      </c>
      <c r="B84" s="10">
        <v>116</v>
      </c>
      <c r="C84">
        <f t="shared" si="18"/>
        <v>117.5</v>
      </c>
      <c r="D84">
        <f t="shared" si="17"/>
        <v>94.045141503398952</v>
      </c>
      <c r="E84">
        <v>55.15002456815423</v>
      </c>
      <c r="G84">
        <f t="shared" si="20"/>
        <v>122.94999999999999</v>
      </c>
      <c r="H84">
        <f t="shared" si="19"/>
        <v>71.490761356040082</v>
      </c>
      <c r="I84">
        <v>45.551456352925399</v>
      </c>
      <c r="K84">
        <f t="shared" si="22"/>
        <v>125.68749999999999</v>
      </c>
      <c r="L84">
        <f t="shared" si="21"/>
        <v>63.446241410515967</v>
      </c>
      <c r="M84">
        <v>41.78671084950421</v>
      </c>
      <c r="O84">
        <f t="shared" si="24"/>
        <v>124.2</v>
      </c>
      <c r="P84">
        <f t="shared" si="23"/>
        <v>67.613230358293748</v>
      </c>
      <c r="Q84">
        <v>43.763112789700507</v>
      </c>
      <c r="S84">
        <f t="shared" si="26"/>
        <v>137.62727272727273</v>
      </c>
      <c r="T84">
        <f t="shared" si="25"/>
        <v>41.175993497711886</v>
      </c>
      <c r="U84">
        <v>30.051075617447459</v>
      </c>
      <c r="W84">
        <f t="shared" si="10"/>
        <v>149.77916666666667</v>
      </c>
      <c r="X84">
        <f t="shared" si="11"/>
        <v>28.944433261923642</v>
      </c>
      <c r="Y84">
        <v>22.547922481414631</v>
      </c>
    </row>
    <row r="85" spans="1:25" x14ac:dyDescent="0.25">
      <c r="A85" s="7">
        <v>46106.038194097222</v>
      </c>
      <c r="B85" s="10">
        <v>132.6</v>
      </c>
      <c r="C85">
        <f t="shared" si="18"/>
        <v>120.72499999999999</v>
      </c>
      <c r="D85">
        <f t="shared" si="17"/>
        <v>79.423082999835799</v>
      </c>
      <c r="E85">
        <v>49.639231101147409</v>
      </c>
      <c r="G85">
        <f t="shared" si="20"/>
        <v>120.06666666666666</v>
      </c>
      <c r="H85">
        <f t="shared" si="19"/>
        <v>82.069264398533562</v>
      </c>
      <c r="I85">
        <v>50.796461215337715</v>
      </c>
      <c r="K85">
        <f t="shared" si="22"/>
        <v>124.6125</v>
      </c>
      <c r="L85">
        <f t="shared" si="21"/>
        <v>66.411952268108664</v>
      </c>
      <c r="M85">
        <v>43.670307536204959</v>
      </c>
      <c r="O85">
        <f t="shared" si="24"/>
        <v>125.65</v>
      </c>
      <c r="P85">
        <f t="shared" si="23"/>
        <v>63.54589075374232</v>
      </c>
      <c r="Q85">
        <v>42.285226760495142</v>
      </c>
      <c r="S85">
        <f t="shared" si="26"/>
        <v>123.77272727272727</v>
      </c>
      <c r="T85">
        <f t="shared" si="25"/>
        <v>68.89722060375388</v>
      </c>
      <c r="U85">
        <v>44.849405628139309</v>
      </c>
      <c r="W85">
        <f t="shared" si="10"/>
        <v>150.82916666666668</v>
      </c>
      <c r="X85">
        <f t="shared" si="11"/>
        <v>28.148922891809807</v>
      </c>
      <c r="Y85">
        <v>22.24179008998858</v>
      </c>
    </row>
    <row r="86" spans="1:25" x14ac:dyDescent="0.25">
      <c r="A86" s="7">
        <v>46106.079860706021</v>
      </c>
      <c r="B86" s="10">
        <v>112.7</v>
      </c>
      <c r="C86">
        <f t="shared" si="18"/>
        <v>118.675</v>
      </c>
      <c r="D86">
        <f t="shared" si="17"/>
        <v>88.203271096262</v>
      </c>
      <c r="E86">
        <v>53.027112327337363</v>
      </c>
      <c r="G86">
        <f t="shared" si="20"/>
        <v>119.21666666666668</v>
      </c>
      <c r="H86">
        <f t="shared" si="19"/>
        <v>85.722566799318628</v>
      </c>
      <c r="I86">
        <v>51.990539189206764</v>
      </c>
      <c r="K86">
        <f t="shared" si="22"/>
        <v>122.875</v>
      </c>
      <c r="L86">
        <f t="shared" si="21"/>
        <v>71.735535866428052</v>
      </c>
      <c r="M86">
        <v>45.861556789644922</v>
      </c>
      <c r="O86">
        <f t="shared" si="24"/>
        <v>125.08</v>
      </c>
      <c r="P86">
        <f t="shared" si="23"/>
        <v>65.09385927014182</v>
      </c>
      <c r="Q86">
        <v>42.755318808278439</v>
      </c>
      <c r="S86">
        <f t="shared" si="26"/>
        <v>124.96363636363635</v>
      </c>
      <c r="T86">
        <f t="shared" si="25"/>
        <v>65.417754260805864</v>
      </c>
      <c r="U86">
        <v>42.910125408589749</v>
      </c>
      <c r="W86">
        <f t="shared" si="10"/>
        <v>150.20416666666665</v>
      </c>
      <c r="X86">
        <f t="shared" si="11"/>
        <v>28.618626466371307</v>
      </c>
      <c r="Y86">
        <v>22.420256770724869</v>
      </c>
    </row>
    <row r="87" spans="1:25" x14ac:dyDescent="0.25">
      <c r="A87" s="7">
        <v>46106.121527314812</v>
      </c>
      <c r="B87" s="10">
        <v>120.6</v>
      </c>
      <c r="C87">
        <f t="shared" si="18"/>
        <v>120.47499999999999</v>
      </c>
      <c r="D87">
        <f t="shared" si="17"/>
        <v>80.410144032503837</v>
      </c>
      <c r="E87">
        <v>48.58124288554486</v>
      </c>
      <c r="G87">
        <f t="shared" si="20"/>
        <v>119.36666666666667</v>
      </c>
      <c r="H87">
        <f t="shared" si="19"/>
        <v>85.057278695544497</v>
      </c>
      <c r="I87">
        <v>50.498893086009829</v>
      </c>
      <c r="K87">
        <f t="shared" si="22"/>
        <v>119.21250000000001</v>
      </c>
      <c r="L87">
        <f t="shared" si="21"/>
        <v>85.74117791679879</v>
      </c>
      <c r="M87">
        <v>50.776639462055904</v>
      </c>
      <c r="O87">
        <f t="shared" si="24"/>
        <v>123.01999999999998</v>
      </c>
      <c r="P87">
        <f t="shared" si="23"/>
        <v>71.263600465367034</v>
      </c>
      <c r="Q87">
        <v>44.638188596984904</v>
      </c>
      <c r="S87">
        <f t="shared" si="26"/>
        <v>124.47272727272728</v>
      </c>
      <c r="T87">
        <f t="shared" si="25"/>
        <v>66.814889374512134</v>
      </c>
      <c r="U87">
        <v>42.629948144329774</v>
      </c>
      <c r="W87">
        <f t="shared" si="10"/>
        <v>150.12083333333331</v>
      </c>
      <c r="X87">
        <f t="shared" si="11"/>
        <v>28.682095778672235</v>
      </c>
      <c r="Y87">
        <v>22.030113638561922</v>
      </c>
    </row>
    <row r="88" spans="1:25" x14ac:dyDescent="0.25">
      <c r="A88" s="7">
        <v>46106.16319392361</v>
      </c>
      <c r="B88" s="10">
        <v>120.2</v>
      </c>
      <c r="C88">
        <f t="shared" si="18"/>
        <v>121.52499999999999</v>
      </c>
      <c r="D88">
        <f t="shared" si="17"/>
        <v>76.402224355447672</v>
      </c>
      <c r="E88">
        <v>47.00798763717755</v>
      </c>
      <c r="G88">
        <f t="shared" si="20"/>
        <v>119.25</v>
      </c>
      <c r="H88">
        <f t="shared" si="19"/>
        <v>85.573933931855279</v>
      </c>
      <c r="I88">
        <v>50.850086174189777</v>
      </c>
      <c r="K88">
        <f t="shared" si="22"/>
        <v>119.51250000000002</v>
      </c>
      <c r="L88">
        <f t="shared" si="21"/>
        <v>84.419142314182722</v>
      </c>
      <c r="M88">
        <v>50.37797664794509</v>
      </c>
      <c r="O88">
        <f t="shared" si="24"/>
        <v>122.38</v>
      </c>
      <c r="P88">
        <f t="shared" si="23"/>
        <v>73.387979188400749</v>
      </c>
      <c r="Q88">
        <v>45.695914469205718</v>
      </c>
      <c r="S88">
        <f t="shared" si="26"/>
        <v>124.67272727272726</v>
      </c>
      <c r="T88">
        <f t="shared" si="25"/>
        <v>66.239604363063734</v>
      </c>
      <c r="U88">
        <v>42.474336973874486</v>
      </c>
      <c r="W88">
        <f t="shared" si="10"/>
        <v>150.39166666666665</v>
      </c>
      <c r="X88">
        <f t="shared" si="11"/>
        <v>28.47655101357061</v>
      </c>
      <c r="Y88">
        <v>21.948666669037483</v>
      </c>
    </row>
    <row r="89" spans="1:25" x14ac:dyDescent="0.25">
      <c r="A89" s="7">
        <v>46106.20416666667</v>
      </c>
      <c r="B89" s="10">
        <v>120.4</v>
      </c>
      <c r="C89">
        <f t="shared" si="18"/>
        <v>118.47499999999999</v>
      </c>
      <c r="D89">
        <f t="shared" si="17"/>
        <v>89.151528353239769</v>
      </c>
      <c r="E89">
        <v>51.641491386023432</v>
      </c>
      <c r="G89">
        <f t="shared" si="20"/>
        <v>120.41666666666667</v>
      </c>
      <c r="H89">
        <f t="shared" si="19"/>
        <v>80.643549797358844</v>
      </c>
      <c r="I89">
        <v>48.225141327453194</v>
      </c>
      <c r="K89">
        <f t="shared" si="22"/>
        <v>119.60000000000001</v>
      </c>
      <c r="L89">
        <f t="shared" si="21"/>
        <v>84.040293172308353</v>
      </c>
      <c r="M89">
        <v>49.610246652324079</v>
      </c>
      <c r="O89">
        <f t="shared" si="24"/>
        <v>119.43000000000002</v>
      </c>
      <c r="P89">
        <f t="shared" si="23"/>
        <v>84.779105161951591</v>
      </c>
      <c r="Q89">
        <v>49.907698488035152</v>
      </c>
      <c r="S89">
        <f t="shared" si="26"/>
        <v>122.76363636363635</v>
      </c>
      <c r="T89">
        <f t="shared" si="25"/>
        <v>72.101664340279697</v>
      </c>
      <c r="U89">
        <v>44.604566401040039</v>
      </c>
      <c r="W89">
        <f t="shared" si="10"/>
        <v>150.4458333333333</v>
      </c>
      <c r="X89">
        <f t="shared" si="11"/>
        <v>28.435694145787622</v>
      </c>
      <c r="Y89">
        <v>21.700583386549948</v>
      </c>
    </row>
    <row r="90" spans="1:25" x14ac:dyDescent="0.25">
      <c r="A90" s="7">
        <v>46106.245833333334</v>
      </c>
      <c r="B90" s="10">
        <v>129.30000000000001</v>
      </c>
      <c r="C90">
        <f t="shared" si="18"/>
        <v>122.62500000000001</v>
      </c>
      <c r="D90">
        <f t="shared" si="17"/>
        <v>72.561982500267746</v>
      </c>
      <c r="E90">
        <v>45.991457025166397</v>
      </c>
      <c r="G90">
        <f t="shared" si="20"/>
        <v>122.63333333333333</v>
      </c>
      <c r="H90">
        <f t="shared" si="19"/>
        <v>72.534169957557538</v>
      </c>
      <c r="I90">
        <v>45.978902097407598</v>
      </c>
      <c r="K90">
        <f t="shared" si="22"/>
        <v>120.65</v>
      </c>
      <c r="L90">
        <f t="shared" si="21"/>
        <v>79.716968018503593</v>
      </c>
      <c r="M90">
        <v>49.148689860413953</v>
      </c>
      <c r="O90">
        <f t="shared" si="24"/>
        <v>120.58000000000001</v>
      </c>
      <c r="P90">
        <f t="shared" si="23"/>
        <v>79.992979942161867</v>
      </c>
      <c r="Q90">
        <v>49.267718252513909</v>
      </c>
      <c r="S90">
        <f t="shared" si="26"/>
        <v>122.2</v>
      </c>
      <c r="T90">
        <f t="shared" si="25"/>
        <v>74.005253061520705</v>
      </c>
      <c r="U90">
        <v>46.639858678338761</v>
      </c>
      <c r="W90">
        <f t="shared" ref="W90:W122" si="27">AVERAGE(B67:B90)</f>
        <v>150.4375</v>
      </c>
      <c r="X90">
        <f t="shared" ref="X90:X122" si="28">(($AA$4/((W90/$AD$4)-$AB$4))-$AC$4)*100</f>
        <v>28.441974381132901</v>
      </c>
      <c r="Y90">
        <v>22.202170391154141</v>
      </c>
    </row>
    <row r="91" spans="1:25" x14ac:dyDescent="0.25">
      <c r="A91" s="7">
        <v>46106.287499999999</v>
      </c>
      <c r="B91" s="10">
        <v>113.6</v>
      </c>
      <c r="C91">
        <f t="shared" si="18"/>
        <v>120.875</v>
      </c>
      <c r="D91">
        <f t="shared" si="17"/>
        <v>78.840957664899506</v>
      </c>
      <c r="E91">
        <v>49.13380478620585</v>
      </c>
      <c r="G91">
        <f t="shared" si="20"/>
        <v>119.46666666666668</v>
      </c>
      <c r="H91">
        <f t="shared" si="19"/>
        <v>84.618788683977257</v>
      </c>
      <c r="I91">
        <v>51.627084591025927</v>
      </c>
      <c r="K91">
        <f t="shared" si="22"/>
        <v>120.675</v>
      </c>
      <c r="L91">
        <f t="shared" si="21"/>
        <v>79.61879548252459</v>
      </c>
      <c r="M91">
        <v>49.474317439569397</v>
      </c>
      <c r="O91">
        <f t="shared" si="24"/>
        <v>119.97</v>
      </c>
      <c r="P91">
        <f t="shared" si="23"/>
        <v>82.470841994164687</v>
      </c>
      <c r="Q91">
        <v>50.709754404451303</v>
      </c>
      <c r="S91">
        <f t="shared" si="26"/>
        <v>120.32727272727274</v>
      </c>
      <c r="T91">
        <f t="shared" si="25"/>
        <v>81.003545896239473</v>
      </c>
      <c r="U91">
        <v>50.076693551143535</v>
      </c>
      <c r="W91">
        <f t="shared" si="27"/>
        <v>150.54583333333332</v>
      </c>
      <c r="X91">
        <f t="shared" si="28"/>
        <v>28.36048507629042</v>
      </c>
      <c r="Y91">
        <v>22.287368941487578</v>
      </c>
    </row>
    <row r="92" spans="1:25" x14ac:dyDescent="0.25">
      <c r="A92" s="7">
        <v>46106.329861111109</v>
      </c>
      <c r="B92" s="10">
        <v>143.5</v>
      </c>
      <c r="C92">
        <f t="shared" si="18"/>
        <v>126.7</v>
      </c>
      <c r="D92">
        <f t="shared" si="17"/>
        <v>60.852280008925497</v>
      </c>
      <c r="E92">
        <v>39.572588635408827</v>
      </c>
      <c r="G92">
        <f t="shared" si="20"/>
        <v>124.60000000000001</v>
      </c>
      <c r="H92">
        <f t="shared" si="19"/>
        <v>66.447818393534064</v>
      </c>
      <c r="I92">
        <v>42.177206079662149</v>
      </c>
      <c r="K92">
        <f t="shared" si="22"/>
        <v>124.1125</v>
      </c>
      <c r="L92">
        <f t="shared" si="21"/>
        <v>67.872824810116754</v>
      </c>
      <c r="M92">
        <v>42.823162508391746</v>
      </c>
      <c r="O92">
        <f t="shared" si="24"/>
        <v>122.22999999999999</v>
      </c>
      <c r="P92">
        <f t="shared" si="23"/>
        <v>73.901751422506209</v>
      </c>
      <c r="Q92">
        <v>45.484210293929202</v>
      </c>
      <c r="S92">
        <f t="shared" si="26"/>
        <v>119.94545454545455</v>
      </c>
      <c r="T92">
        <f t="shared" si="25"/>
        <v>82.573359315130915</v>
      </c>
      <c r="U92">
        <v>49.126803338125619</v>
      </c>
      <c r="W92">
        <f t="shared" si="27"/>
        <v>151.51666666666665</v>
      </c>
      <c r="X92">
        <f t="shared" si="28"/>
        <v>27.644790654815544</v>
      </c>
      <c r="Y92">
        <v>21.236320319520068</v>
      </c>
    </row>
    <row r="93" spans="1:25" x14ac:dyDescent="0.25">
      <c r="A93" s="20">
        <v>46106.371527777781</v>
      </c>
      <c r="B93" s="15">
        <v>501.2</v>
      </c>
      <c r="C93">
        <f t="shared" si="18"/>
        <v>221.89999999999998</v>
      </c>
      <c r="D93">
        <f t="shared" si="17"/>
        <v>5.5069193912587036</v>
      </c>
      <c r="E93">
        <v>-33.033312337186821</v>
      </c>
      <c r="G93">
        <f t="shared" si="20"/>
        <v>188.03333333333333</v>
      </c>
      <c r="H93">
        <f t="shared" si="19"/>
        <v>11.865085696571185</v>
      </c>
      <c r="I93">
        <v>-27.31604595965193</v>
      </c>
      <c r="K93">
        <f t="shared" si="22"/>
        <v>170.1875</v>
      </c>
      <c r="L93">
        <f t="shared" si="21"/>
        <v>17.597314508648665</v>
      </c>
      <c r="M93">
        <v>14.71518657671704</v>
      </c>
      <c r="O93">
        <f t="shared" si="24"/>
        <v>161.01000000000002</v>
      </c>
      <c r="P93">
        <f t="shared" si="23"/>
        <v>21.798461400508646</v>
      </c>
      <c r="Q93">
        <v>17.613671411395739</v>
      </c>
      <c r="S93">
        <f t="shared" si="26"/>
        <v>122.10909090909091</v>
      </c>
      <c r="T93">
        <f t="shared" si="25"/>
        <v>74.320432012996321</v>
      </c>
      <c r="U93">
        <v>46.341984136952604</v>
      </c>
      <c r="W93">
        <f t="shared" si="27"/>
        <v>167.07916666666665</v>
      </c>
      <c r="X93">
        <f t="shared" si="28"/>
        <v>18.896185379067099</v>
      </c>
      <c r="Y93">
        <v>15.61856154576056</v>
      </c>
    </row>
    <row r="94" spans="1:25" x14ac:dyDescent="0.25">
      <c r="A94" s="20">
        <v>46106.413194502318</v>
      </c>
      <c r="B94" s="15">
        <v>546</v>
      </c>
      <c r="C94">
        <f t="shared" si="18"/>
        <v>326.07499999999999</v>
      </c>
      <c r="D94">
        <f t="shared" si="17"/>
        <v>-2.2423068718036414</v>
      </c>
      <c r="E94">
        <v>-47.198106596818</v>
      </c>
      <c r="G94">
        <f t="shared" si="20"/>
        <v>259</v>
      </c>
      <c r="H94">
        <f t="shared" si="19"/>
        <v>1.6013662675208749</v>
      </c>
      <c r="I94">
        <v>-38.902056575622865</v>
      </c>
      <c r="K94">
        <f t="shared" si="22"/>
        <v>224.35</v>
      </c>
      <c r="L94">
        <f t="shared" si="21"/>
        <v>5.1785842855613398</v>
      </c>
      <c r="M94">
        <v>-33.712430280660371</v>
      </c>
      <c r="O94">
        <f t="shared" si="24"/>
        <v>204.01</v>
      </c>
      <c r="P94">
        <f t="shared" si="23"/>
        <v>8.3620537098747594</v>
      </c>
      <c r="Q94">
        <v>-30.353413511201989</v>
      </c>
      <c r="S94">
        <f t="shared" si="26"/>
        <v>156.68181818181819</v>
      </c>
      <c r="T94">
        <f t="shared" si="25"/>
        <v>24.231489845410341</v>
      </c>
      <c r="U94">
        <v>18.879510385601488</v>
      </c>
      <c r="W94">
        <f t="shared" si="27"/>
        <v>182.375</v>
      </c>
      <c r="X94">
        <f t="shared" si="28"/>
        <v>13.42177245565726</v>
      </c>
      <c r="Y94">
        <v>-26.575812948111238</v>
      </c>
    </row>
    <row r="95" spans="1:25" x14ac:dyDescent="0.25">
      <c r="A95" s="7">
        <v>46106.454861226855</v>
      </c>
      <c r="B95" s="10">
        <v>234.3</v>
      </c>
      <c r="C95">
        <f t="shared" si="18"/>
        <v>356.25</v>
      </c>
      <c r="D95">
        <f t="shared" si="17"/>
        <v>-3.3216996633646372</v>
      </c>
      <c r="E95">
        <v>-50.503454621152265</v>
      </c>
      <c r="G95">
        <f t="shared" si="20"/>
        <v>277.98333333333329</v>
      </c>
      <c r="H95">
        <f t="shared" si="19"/>
        <v>0.22376775010176514</v>
      </c>
      <c r="I95">
        <v>-41.641450752373835</v>
      </c>
      <c r="K95">
        <f t="shared" si="22"/>
        <v>238.5625</v>
      </c>
      <c r="L95">
        <f t="shared" si="21"/>
        <v>3.4988032689263275</v>
      </c>
      <c r="M95">
        <v>-36.096346410321765</v>
      </c>
      <c r="O95">
        <f t="shared" si="24"/>
        <v>214.18</v>
      </c>
      <c r="P95">
        <f t="shared" si="23"/>
        <v>6.6316449332859424</v>
      </c>
      <c r="Q95">
        <v>-32.228000487739322</v>
      </c>
      <c r="S95">
        <f t="shared" si="26"/>
        <v>196.00909090909093</v>
      </c>
      <c r="T95">
        <f t="shared" si="25"/>
        <v>9.9743703050910195</v>
      </c>
      <c r="U95">
        <v>-29.136554796501418</v>
      </c>
      <c r="W95">
        <f t="shared" si="27"/>
        <v>179.24166666666665</v>
      </c>
      <c r="X95">
        <f t="shared" si="28"/>
        <v>14.376449798084545</v>
      </c>
      <c r="Y95">
        <v>-26.167192993768811</v>
      </c>
    </row>
    <row r="96" spans="1:25" x14ac:dyDescent="0.25">
      <c r="A96" s="7">
        <v>46106.496527951385</v>
      </c>
      <c r="B96" s="10">
        <v>267.39999999999998</v>
      </c>
      <c r="C96">
        <f t="shared" si="18"/>
        <v>387.22500000000002</v>
      </c>
      <c r="D96">
        <f t="shared" si="17"/>
        <v>-4.1958937258170002</v>
      </c>
      <c r="E96">
        <v>-53.473495157210515</v>
      </c>
      <c r="G96">
        <f t="shared" si="20"/>
        <v>301</v>
      </c>
      <c r="H96">
        <f t="shared" si="19"/>
        <v>-1.1018873614501212</v>
      </c>
      <c r="I96">
        <v>-44.570983874451741</v>
      </c>
      <c r="K96">
        <f t="shared" si="22"/>
        <v>256.96249999999998</v>
      </c>
      <c r="L96">
        <f t="shared" si="21"/>
        <v>1.768709943390999</v>
      </c>
      <c r="M96">
        <v>-38.849517844910089</v>
      </c>
      <c r="O96">
        <f t="shared" si="24"/>
        <v>229.65</v>
      </c>
      <c r="P96">
        <f t="shared" si="23"/>
        <v>4.5099458833296264</v>
      </c>
      <c r="Q96">
        <v>-34.780036432180836</v>
      </c>
      <c r="S96">
        <f t="shared" si="26"/>
        <v>206.76363636363638</v>
      </c>
      <c r="T96">
        <f t="shared" si="25"/>
        <v>7.8617409897302242</v>
      </c>
      <c r="U96">
        <v>-31.04192107745709</v>
      </c>
      <c r="W96">
        <f t="shared" si="27"/>
        <v>173.82083333333333</v>
      </c>
      <c r="X96">
        <f t="shared" si="28"/>
        <v>16.213080990960442</v>
      </c>
      <c r="Y96">
        <v>13.277434266573229</v>
      </c>
    </row>
    <row r="97" spans="1:25" x14ac:dyDescent="0.25">
      <c r="A97" s="7">
        <v>46106.538194675923</v>
      </c>
      <c r="B97" s="10">
        <v>181.3</v>
      </c>
      <c r="C97">
        <f t="shared" si="18"/>
        <v>307.24999999999994</v>
      </c>
      <c r="D97">
        <f t="shared" si="17"/>
        <v>-1.411644491362446</v>
      </c>
      <c r="E97">
        <v>-45.267206635053306</v>
      </c>
      <c r="G97">
        <f t="shared" si="20"/>
        <v>312.28333333333336</v>
      </c>
      <c r="H97">
        <f t="shared" si="19"/>
        <v>-1.6480006078566145</v>
      </c>
      <c r="I97">
        <v>-45.84925564445394</v>
      </c>
      <c r="K97">
        <f t="shared" si="22"/>
        <v>264.57499999999999</v>
      </c>
      <c r="L97">
        <f t="shared" si="21"/>
        <v>1.1643371997245509</v>
      </c>
      <c r="M97">
        <v>-39.867770109578821</v>
      </c>
      <c r="O97">
        <f t="shared" si="24"/>
        <v>235.72000000000003</v>
      </c>
      <c r="P97">
        <f t="shared" si="23"/>
        <v>3.8071343999611691</v>
      </c>
      <c r="Q97">
        <v>-35.680744054177069</v>
      </c>
      <c r="S97">
        <f t="shared" si="26"/>
        <v>219.01818181818183</v>
      </c>
      <c r="T97">
        <f t="shared" si="25"/>
        <v>5.9100622325432797</v>
      </c>
      <c r="U97">
        <v>-33.039862226021391</v>
      </c>
      <c r="W97">
        <f t="shared" si="27"/>
        <v>170.19166666666669</v>
      </c>
      <c r="X97">
        <f t="shared" si="28"/>
        <v>17.595647890535908</v>
      </c>
      <c r="Y97">
        <v>14.248572322585881</v>
      </c>
    </row>
    <row r="98" spans="1:25" x14ac:dyDescent="0.25">
      <c r="A98" s="7">
        <v>46106.579861342594</v>
      </c>
      <c r="B98" s="10">
        <v>134.6</v>
      </c>
      <c r="C98">
        <f t="shared" si="18"/>
        <v>204.4</v>
      </c>
      <c r="D98">
        <f t="shared" si="17"/>
        <v>8.2896279954474945</v>
      </c>
      <c r="E98">
        <v>-30.896901421588506</v>
      </c>
      <c r="G98">
        <f t="shared" si="20"/>
        <v>310.8</v>
      </c>
      <c r="H98">
        <f t="shared" si="19"/>
        <v>-1.5795049762490256</v>
      </c>
      <c r="I98">
        <v>-45.99476141334241</v>
      </c>
      <c r="K98">
        <f t="shared" si="22"/>
        <v>265.23750000000001</v>
      </c>
      <c r="L98">
        <f t="shared" si="21"/>
        <v>1.1143338535883631</v>
      </c>
      <c r="M98">
        <v>-40.273624939742078</v>
      </c>
      <c r="O98">
        <f t="shared" si="24"/>
        <v>237.16</v>
      </c>
      <c r="P98">
        <f t="shared" si="23"/>
        <v>3.6493669984340547</v>
      </c>
      <c r="Q98">
        <v>-36.21160156833637</v>
      </c>
      <c r="S98">
        <f t="shared" si="26"/>
        <v>225.25454545454548</v>
      </c>
      <c r="T98">
        <f t="shared" si="25"/>
        <v>5.0605439121544515</v>
      </c>
      <c r="U98">
        <v>-34.351646432342662</v>
      </c>
      <c r="W98">
        <f t="shared" si="27"/>
        <v>170.82083333333335</v>
      </c>
      <c r="X98">
        <f t="shared" si="28"/>
        <v>17.346160755508421</v>
      </c>
      <c r="Y98">
        <v>13.799211114976858</v>
      </c>
    </row>
    <row r="99" spans="1:25" x14ac:dyDescent="0.25">
      <c r="A99" s="7">
        <v>46106.621528067131</v>
      </c>
      <c r="B99" s="10">
        <v>122.2</v>
      </c>
      <c r="C99">
        <f t="shared" si="18"/>
        <v>176.375</v>
      </c>
      <c r="D99">
        <f t="shared" si="17"/>
        <v>15.316274216528164</v>
      </c>
      <c r="E99">
        <v>12.41379564767054</v>
      </c>
      <c r="G99">
        <f t="shared" si="20"/>
        <v>247.6333333333333</v>
      </c>
      <c r="H99">
        <f t="shared" si="19"/>
        <v>2.5929220724000239</v>
      </c>
      <c r="I99">
        <v>-37.821852303252911</v>
      </c>
      <c r="K99">
        <f t="shared" si="22"/>
        <v>266.3125</v>
      </c>
      <c r="L99">
        <f t="shared" si="21"/>
        <v>1.0340311892726008</v>
      </c>
      <c r="M99">
        <v>-40.463419205236875</v>
      </c>
      <c r="O99">
        <f t="shared" si="24"/>
        <v>237.33999999999997</v>
      </c>
      <c r="P99">
        <f t="shared" si="23"/>
        <v>3.6298744458570691</v>
      </c>
      <c r="Q99">
        <v>-36.281460838014759</v>
      </c>
      <c r="S99">
        <f t="shared" si="26"/>
        <v>226.52727272727273</v>
      </c>
      <c r="T99">
        <f t="shared" si="25"/>
        <v>4.8972584247639297</v>
      </c>
      <c r="U99">
        <v>-34.596393155132368</v>
      </c>
      <c r="W99">
        <f t="shared" si="27"/>
        <v>170.99166666666667</v>
      </c>
      <c r="X99">
        <f t="shared" si="28"/>
        <v>17.279156083209202</v>
      </c>
      <c r="Y99">
        <v>13.717592571834942</v>
      </c>
    </row>
    <row r="100" spans="1:25" x14ac:dyDescent="0.25">
      <c r="A100" s="7">
        <v>46106.663194791669</v>
      </c>
      <c r="B100" s="10">
        <v>102.5</v>
      </c>
      <c r="C100">
        <f t="shared" si="18"/>
        <v>135.14999999999998</v>
      </c>
      <c r="D100">
        <f t="shared" si="17"/>
        <v>44.636997792121782</v>
      </c>
      <c r="E100">
        <v>29.505711160161617</v>
      </c>
      <c r="G100">
        <f t="shared" si="20"/>
        <v>173.7166666666667</v>
      </c>
      <c r="H100">
        <f t="shared" si="19"/>
        <v>16.250930262251835</v>
      </c>
      <c r="I100">
        <v>12.854681151631258</v>
      </c>
      <c r="K100">
        <f t="shared" si="22"/>
        <v>261.1875</v>
      </c>
      <c r="L100">
        <f t="shared" si="21"/>
        <v>1.4263386513165013</v>
      </c>
      <c r="M100">
        <v>-39.983595021278937</v>
      </c>
      <c r="O100">
        <f t="shared" si="24"/>
        <v>234.66</v>
      </c>
      <c r="P100">
        <f t="shared" si="23"/>
        <v>3.9253846757716717</v>
      </c>
      <c r="Q100">
        <v>-36.092702208295357</v>
      </c>
      <c r="S100">
        <f t="shared" si="26"/>
        <v>226.70909090909089</v>
      </c>
      <c r="T100">
        <f t="shared" si="25"/>
        <v>4.8741944107766288</v>
      </c>
      <c r="U100">
        <v>-34.846008903833301</v>
      </c>
      <c r="W100">
        <f t="shared" si="27"/>
        <v>170.32916666666668</v>
      </c>
      <c r="X100">
        <f t="shared" si="28"/>
        <v>17.540756396342477</v>
      </c>
      <c r="Y100">
        <v>13.695127864851738</v>
      </c>
    </row>
    <row r="101" spans="1:25" x14ac:dyDescent="0.25">
      <c r="A101" s="7">
        <v>46106.704861516206</v>
      </c>
      <c r="B101" s="10">
        <v>113.5</v>
      </c>
      <c r="C101">
        <f t="shared" si="18"/>
        <v>118.2</v>
      </c>
      <c r="D101">
        <f t="shared" ref="D101:D136" si="29">(($AA$4/((C101/$AD$4)-$AB$4))-$AC$4)*100</f>
        <v>90.485223958532274</v>
      </c>
      <c r="E101">
        <v>49.839842411763499</v>
      </c>
      <c r="G101">
        <f t="shared" si="20"/>
        <v>153.58333333333334</v>
      </c>
      <c r="H101">
        <f t="shared" si="19"/>
        <v>26.203688885982917</v>
      </c>
      <c r="I101">
        <v>19.526062795315312</v>
      </c>
      <c r="K101">
        <f t="shared" si="22"/>
        <v>212.72499999999997</v>
      </c>
      <c r="L101">
        <f t="shared" si="21"/>
        <v>6.8604949679167371</v>
      </c>
      <c r="M101">
        <v>-32.288625410724173</v>
      </c>
      <c r="O101">
        <f t="shared" si="24"/>
        <v>234.65</v>
      </c>
      <c r="P101">
        <f t="shared" si="23"/>
        <v>3.9265089443087473</v>
      </c>
      <c r="Q101">
        <v>-35.809542646966591</v>
      </c>
      <c r="S101">
        <f t="shared" si="26"/>
        <v>225.08181818181814</v>
      </c>
      <c r="T101">
        <f t="shared" si="25"/>
        <v>5.0829550462565498</v>
      </c>
      <c r="U101">
        <v>-34.307352320857369</v>
      </c>
      <c r="W101">
        <f t="shared" si="27"/>
        <v>169.17499999999998</v>
      </c>
      <c r="X101">
        <f t="shared" si="28"/>
        <v>18.008042919777839</v>
      </c>
      <c r="Y101">
        <v>14.252065675961989</v>
      </c>
    </row>
    <row r="102" spans="1:25" x14ac:dyDescent="0.25">
      <c r="A102" s="7">
        <v>46106.746528240743</v>
      </c>
      <c r="B102" s="10">
        <v>112.7</v>
      </c>
      <c r="C102">
        <f t="shared" si="18"/>
        <v>112.72499999999999</v>
      </c>
      <c r="D102">
        <f t="shared" si="29"/>
        <v>127.03072072160336</v>
      </c>
      <c r="E102">
        <v>63.390308368229611</v>
      </c>
      <c r="G102">
        <f t="shared" si="20"/>
        <v>127.8</v>
      </c>
      <c r="H102">
        <f t="shared" si="19"/>
        <v>58.230279852566269</v>
      </c>
      <c r="I102">
        <v>37.45315919781266</v>
      </c>
      <c r="K102">
        <f t="shared" si="22"/>
        <v>158.56250000000003</v>
      </c>
      <c r="L102">
        <f t="shared" si="21"/>
        <v>23.131952888397173</v>
      </c>
      <c r="M102">
        <v>17.909465011344899</v>
      </c>
      <c r="O102">
        <f t="shared" si="24"/>
        <v>231.57</v>
      </c>
      <c r="P102">
        <f t="shared" si="23"/>
        <v>4.2807612784294085</v>
      </c>
      <c r="Q102">
        <v>-35.054614922841246</v>
      </c>
      <c r="S102">
        <f t="shared" si="26"/>
        <v>223.64545454545453</v>
      </c>
      <c r="T102">
        <f t="shared" si="25"/>
        <v>5.2716975648979023</v>
      </c>
      <c r="U102">
        <v>-33.802466018955464</v>
      </c>
      <c r="W102">
        <f t="shared" si="27"/>
        <v>168.59583333333333</v>
      </c>
      <c r="X102">
        <f t="shared" si="28"/>
        <v>18.248242183573222</v>
      </c>
      <c r="Y102">
        <v>14.67377352889676</v>
      </c>
    </row>
    <row r="103" spans="1:25" x14ac:dyDescent="0.25">
      <c r="A103" s="7">
        <v>46106.788888888892</v>
      </c>
      <c r="B103" s="10">
        <v>121.1</v>
      </c>
      <c r="C103">
        <f t="shared" si="18"/>
        <v>112.44999999999999</v>
      </c>
      <c r="D103">
        <f t="shared" si="29"/>
        <v>129.56981771470922</v>
      </c>
      <c r="E103">
        <v>65.991811978164321</v>
      </c>
      <c r="G103">
        <f t="shared" si="20"/>
        <v>117.76666666666667</v>
      </c>
      <c r="H103">
        <f t="shared" ref="H103:H136" si="30">(($AA$4/((G103/$AD$4)-$AB$4))-$AC$4)*100</f>
        <v>92.660062300870209</v>
      </c>
      <c r="I103">
        <v>53.019176639227879</v>
      </c>
      <c r="K103">
        <f t="shared" si="22"/>
        <v>144.41249999999999</v>
      </c>
      <c r="L103">
        <f t="shared" si="21"/>
        <v>33.565876178268624</v>
      </c>
      <c r="M103">
        <v>24.891723503820089</v>
      </c>
      <c r="O103">
        <f t="shared" si="24"/>
        <v>193.55999999999997</v>
      </c>
      <c r="P103">
        <f t="shared" si="23"/>
        <v>10.52156247264297</v>
      </c>
      <c r="Q103">
        <v>-28.473691559129488</v>
      </c>
      <c r="S103">
        <f t="shared" si="26"/>
        <v>223.56363636363633</v>
      </c>
      <c r="T103">
        <f t="shared" si="25"/>
        <v>5.2825781418084512</v>
      </c>
      <c r="U103">
        <v>-33.5057958462504</v>
      </c>
      <c r="W103">
        <f t="shared" si="27"/>
        <v>167.39583333333334</v>
      </c>
      <c r="X103">
        <f t="shared" si="28"/>
        <v>18.758579695386928</v>
      </c>
      <c r="Y103">
        <v>15.305591664332791</v>
      </c>
    </row>
    <row r="104" spans="1:25" x14ac:dyDescent="0.25">
      <c r="A104" s="7">
        <v>46106.830555555556</v>
      </c>
      <c r="B104" s="10">
        <v>131.1</v>
      </c>
      <c r="C104">
        <f t="shared" si="18"/>
        <v>119.6</v>
      </c>
      <c r="D104">
        <f t="shared" si="29"/>
        <v>84.040293172308409</v>
      </c>
      <c r="E104">
        <v>50.44910668046969</v>
      </c>
      <c r="G104">
        <f t="shared" si="20"/>
        <v>117.18333333333334</v>
      </c>
      <c r="H104">
        <f t="shared" si="30"/>
        <v>95.738534922286703</v>
      </c>
      <c r="I104">
        <v>55.137397877728525</v>
      </c>
      <c r="K104">
        <f t="shared" si="22"/>
        <v>127.375</v>
      </c>
      <c r="L104">
        <f t="shared" si="21"/>
        <v>59.220477571428944</v>
      </c>
      <c r="M104">
        <v>39.302564287017937</v>
      </c>
      <c r="O104">
        <f t="shared" si="24"/>
        <v>152.07</v>
      </c>
      <c r="P104">
        <f t="shared" si="23"/>
        <v>27.248257609809396</v>
      </c>
      <c r="Q104">
        <v>21.234176729588281</v>
      </c>
      <c r="S104">
        <f t="shared" si="26"/>
        <v>221.5272727272727</v>
      </c>
      <c r="T104">
        <f t="shared" si="25"/>
        <v>5.5580065205594487</v>
      </c>
      <c r="U104">
        <v>-32.983420963549982</v>
      </c>
      <c r="W104">
        <f t="shared" si="27"/>
        <v>167.95000000000002</v>
      </c>
      <c r="X104">
        <f t="shared" si="28"/>
        <v>18.520744134869719</v>
      </c>
      <c r="Y104">
        <v>15.347408064679369</v>
      </c>
    </row>
    <row r="105" spans="1:25" x14ac:dyDescent="0.25">
      <c r="A105" s="7">
        <v>46106.87222222222</v>
      </c>
      <c r="B105" s="10">
        <v>121.8</v>
      </c>
      <c r="C105">
        <f t="shared" si="18"/>
        <v>121.675</v>
      </c>
      <c r="D105">
        <f t="shared" si="29"/>
        <v>75.858022127872005</v>
      </c>
      <c r="E105">
        <v>47.834157372184499</v>
      </c>
      <c r="G105">
        <f t="shared" si="20"/>
        <v>117.11666666666666</v>
      </c>
      <c r="H105">
        <f t="shared" si="30"/>
        <v>96.101986283549337</v>
      </c>
      <c r="I105">
        <v>56.385536914609688</v>
      </c>
      <c r="K105">
        <f t="shared" si="22"/>
        <v>119.9375</v>
      </c>
      <c r="L105">
        <f t="shared" ref="L105:L136" si="31">(($AA$4/((K105/$AD$4)-$AB$4))-$AC$4)*100</f>
        <v>82.60663052876825</v>
      </c>
      <c r="M105">
        <v>50.791053885947676</v>
      </c>
      <c r="O105">
        <f t="shared" si="24"/>
        <v>140.82</v>
      </c>
      <c r="P105">
        <f t="shared" si="23"/>
        <v>37.298530186531757</v>
      </c>
      <c r="Q105">
        <v>27.92721461168825</v>
      </c>
      <c r="S105">
        <f t="shared" si="26"/>
        <v>187.88181818181818</v>
      </c>
      <c r="T105">
        <f t="shared" si="25"/>
        <v>11.904231411107443</v>
      </c>
      <c r="U105">
        <v>-27.099926054560758</v>
      </c>
      <c r="W105">
        <f t="shared" si="27"/>
        <v>168.03749999999999</v>
      </c>
      <c r="X105">
        <f t="shared" si="28"/>
        <v>18.483532504154539</v>
      </c>
      <c r="Y105">
        <v>15.555213002957469</v>
      </c>
    </row>
    <row r="106" spans="1:25" x14ac:dyDescent="0.25">
      <c r="A106" s="7">
        <v>46106.913194444445</v>
      </c>
      <c r="B106" s="10">
        <v>120.2</v>
      </c>
      <c r="C106">
        <f t="shared" si="18"/>
        <v>123.55</v>
      </c>
      <c r="D106">
        <f t="shared" si="29"/>
        <v>69.583201021466394</v>
      </c>
      <c r="E106">
        <v>45.044858423072768</v>
      </c>
      <c r="G106">
        <f t="shared" si="20"/>
        <v>120.06666666666666</v>
      </c>
      <c r="H106">
        <f t="shared" si="30"/>
        <v>82.069264398533562</v>
      </c>
      <c r="I106">
        <v>50.64582152530167</v>
      </c>
      <c r="K106">
        <f t="shared" si="22"/>
        <v>118.1375</v>
      </c>
      <c r="L106">
        <f t="shared" si="31"/>
        <v>90.793280742552369</v>
      </c>
      <c r="M106">
        <v>54.327062405632617</v>
      </c>
      <c r="O106">
        <f t="shared" si="24"/>
        <v>126.1</v>
      </c>
      <c r="P106">
        <f t="shared" si="23"/>
        <v>62.367313290731083</v>
      </c>
      <c r="Q106">
        <v>41.594175304988617</v>
      </c>
      <c r="S106">
        <f t="shared" si="26"/>
        <v>149.31818181818181</v>
      </c>
      <c r="T106">
        <f t="shared" si="25"/>
        <v>29.303862230415113</v>
      </c>
      <c r="U106">
        <v>22.944013597335839</v>
      </c>
      <c r="W106">
        <f t="shared" si="27"/>
        <v>168.00833333333333</v>
      </c>
      <c r="X106">
        <f t="shared" si="28"/>
        <v>18.495926126832874</v>
      </c>
      <c r="Y106">
        <v>15.5853524808209</v>
      </c>
    </row>
    <row r="107" spans="1:25" x14ac:dyDescent="0.25">
      <c r="A107" s="7">
        <v>46106.954861111109</v>
      </c>
      <c r="B107" s="10">
        <v>100.9</v>
      </c>
      <c r="C107">
        <f t="shared" si="18"/>
        <v>118.5</v>
      </c>
      <c r="D107">
        <f t="shared" si="29"/>
        <v>89.032010949380819</v>
      </c>
      <c r="E107">
        <v>54.243201179217316</v>
      </c>
      <c r="G107">
        <f t="shared" si="20"/>
        <v>117.96666666666665</v>
      </c>
      <c r="H107">
        <f t="shared" si="30"/>
        <v>91.644877077379988</v>
      </c>
      <c r="I107">
        <v>55.344679988435587</v>
      </c>
      <c r="K107">
        <f t="shared" si="22"/>
        <v>115.47499999999999</v>
      </c>
      <c r="L107">
        <f t="shared" si="31"/>
        <v>105.90004235514485</v>
      </c>
      <c r="M107">
        <v>61.129601397441355</v>
      </c>
      <c r="O107">
        <f t="shared" si="24"/>
        <v>118.06000000000002</v>
      </c>
      <c r="P107">
        <f t="shared" ref="P107:P136" si="32">(($AA$4/((O107/$AD$4)-$AB$4))-$AC$4)*100</f>
        <v>91.177865475840008</v>
      </c>
      <c r="Q107">
        <v>55.148828964697572</v>
      </c>
      <c r="S107">
        <f t="shared" si="26"/>
        <v>138.94545454545454</v>
      </c>
      <c r="T107">
        <f t="shared" si="25"/>
        <v>39.502791413461935</v>
      </c>
      <c r="U107">
        <v>29.574678326332769</v>
      </c>
      <c r="W107">
        <f t="shared" si="27"/>
        <v>167.48750000000001</v>
      </c>
      <c r="X107">
        <f t="shared" si="28"/>
        <v>18.718978694829268</v>
      </c>
      <c r="Y107">
        <v>15.890347519222569</v>
      </c>
    </row>
    <row r="108" spans="1:25" x14ac:dyDescent="0.25">
      <c r="A108" s="7">
        <v>46106.996527662035</v>
      </c>
      <c r="B108" s="10">
        <v>127.3</v>
      </c>
      <c r="C108">
        <f t="shared" si="18"/>
        <v>117.55</v>
      </c>
      <c r="D108">
        <f t="shared" si="29"/>
        <v>93.782640228653946</v>
      </c>
      <c r="E108">
        <v>56.455853790863387</v>
      </c>
      <c r="G108">
        <f t="shared" si="20"/>
        <v>120.39999999999999</v>
      </c>
      <c r="H108">
        <f t="shared" si="30"/>
        <v>80.710455055801418</v>
      </c>
      <c r="I108">
        <v>50.821875109225488</v>
      </c>
      <c r="K108">
        <f t="shared" si="22"/>
        <v>118.57499999999999</v>
      </c>
      <c r="L108">
        <f t="shared" si="31"/>
        <v>88.67515572603493</v>
      </c>
      <c r="M108">
        <v>54.298156382776</v>
      </c>
      <c r="O108">
        <f t="shared" si="24"/>
        <v>117.33</v>
      </c>
      <c r="P108">
        <f t="shared" si="32"/>
        <v>94.947520788867763</v>
      </c>
      <c r="Q108">
        <v>56.940821669780561</v>
      </c>
      <c r="S108">
        <f t="shared" si="26"/>
        <v>123.80909090909091</v>
      </c>
      <c r="T108">
        <f t="shared" si="25"/>
        <v>68.786324492773403</v>
      </c>
      <c r="U108">
        <v>45.318337338086366</v>
      </c>
      <c r="W108">
        <f t="shared" si="27"/>
        <v>167.95833333333334</v>
      </c>
      <c r="X108">
        <f t="shared" si="28"/>
        <v>18.517196191091511</v>
      </c>
      <c r="Y108">
        <v>15.793185698923201</v>
      </c>
    </row>
    <row r="109" spans="1:25" x14ac:dyDescent="0.25">
      <c r="A109" s="7">
        <v>46107.038194270834</v>
      </c>
      <c r="B109" s="10">
        <v>121.9</v>
      </c>
      <c r="C109">
        <f t="shared" si="18"/>
        <v>117.57500000000002</v>
      </c>
      <c r="D109">
        <f t="shared" si="29"/>
        <v>93.651878633236493</v>
      </c>
      <c r="E109">
        <v>56.528198229832817</v>
      </c>
      <c r="G109">
        <f t="shared" si="20"/>
        <v>120.53333333333332</v>
      </c>
      <c r="H109">
        <f t="shared" si="30"/>
        <v>80.177917744732341</v>
      </c>
      <c r="I109">
        <v>50.690676774401958</v>
      </c>
      <c r="K109">
        <f t="shared" si="22"/>
        <v>119.62499999999999</v>
      </c>
      <c r="L109">
        <f t="shared" si="31"/>
        <v>83.932599612927078</v>
      </c>
      <c r="M109">
        <v>52.357684799854987</v>
      </c>
      <c r="O109">
        <f t="shared" si="24"/>
        <v>117.3</v>
      </c>
      <c r="P109">
        <f t="shared" si="32"/>
        <v>95.108368357572772</v>
      </c>
      <c r="Q109">
        <v>57.136835910139951</v>
      </c>
      <c r="S109">
        <f t="shared" si="26"/>
        <v>118.9</v>
      </c>
      <c r="T109">
        <f t="shared" ref="T109:T136" si="33">(($AA$4/((S109/$AD$4)-$AB$4))-$AC$4)*100</f>
        <v>87.157614851730642</v>
      </c>
      <c r="U109">
        <v>53.763633271927716</v>
      </c>
      <c r="W109">
        <f t="shared" si="27"/>
        <v>167.51250000000002</v>
      </c>
      <c r="X109">
        <f t="shared" si="28"/>
        <v>18.708196405387529</v>
      </c>
      <c r="Y109">
        <v>15.956774505128879</v>
      </c>
    </row>
    <row r="110" spans="1:25" x14ac:dyDescent="0.25">
      <c r="A110" s="7">
        <v>46107.079860937498</v>
      </c>
      <c r="B110" s="10">
        <v>122.6</v>
      </c>
      <c r="C110">
        <f t="shared" si="18"/>
        <v>118.17500000000001</v>
      </c>
      <c r="D110">
        <f t="shared" si="29"/>
        <v>90.608223752077734</v>
      </c>
      <c r="E110">
        <v>55.45573827322319</v>
      </c>
      <c r="G110">
        <f t="shared" si="20"/>
        <v>119.11666666666667</v>
      </c>
      <c r="H110">
        <f t="shared" si="30"/>
        <v>86.171208919680481</v>
      </c>
      <c r="I110">
        <v>53.536789821069775</v>
      </c>
      <c r="K110">
        <f t="shared" si="22"/>
        <v>120.8625</v>
      </c>
      <c r="L110">
        <f t="shared" si="31"/>
        <v>78.889183256467049</v>
      </c>
      <c r="M110">
        <v>50.292560022703327</v>
      </c>
      <c r="O110">
        <f t="shared" si="24"/>
        <v>119.30999999999999</v>
      </c>
      <c r="P110">
        <f t="shared" si="32"/>
        <v>85.307536858785184</v>
      </c>
      <c r="Q110">
        <v>53.158387639938923</v>
      </c>
      <c r="S110">
        <f t="shared" si="26"/>
        <v>117.74545454545455</v>
      </c>
      <c r="T110">
        <f t="shared" si="33"/>
        <v>92.768906816215505</v>
      </c>
      <c r="U110">
        <v>56.375734326375238</v>
      </c>
      <c r="W110">
        <f t="shared" si="27"/>
        <v>167.92499999999998</v>
      </c>
      <c r="X110">
        <f t="shared" si="28"/>
        <v>18.531393000266906</v>
      </c>
      <c r="Y110">
        <v>15.876771158312792</v>
      </c>
    </row>
    <row r="111" spans="1:25" x14ac:dyDescent="0.25">
      <c r="A111" s="7">
        <v>46107.121527604169</v>
      </c>
      <c r="B111" s="10">
        <v>142.30000000000001</v>
      </c>
      <c r="C111">
        <f t="shared" si="18"/>
        <v>128.52499999999998</v>
      </c>
      <c r="D111">
        <f t="shared" si="29"/>
        <v>56.603622698371247</v>
      </c>
      <c r="E111">
        <v>39.208283423675013</v>
      </c>
      <c r="G111">
        <f t="shared" si="20"/>
        <v>122.53333333333335</v>
      </c>
      <c r="H111">
        <f t="shared" si="30"/>
        <v>72.86913997456341</v>
      </c>
      <c r="I111">
        <v>47.210922103221897</v>
      </c>
      <c r="K111">
        <f t="shared" si="22"/>
        <v>123.51249999999999</v>
      </c>
      <c r="L111">
        <f t="shared" si="31"/>
        <v>69.699850763527238</v>
      </c>
      <c r="M111">
        <v>45.719465150479799</v>
      </c>
      <c r="O111">
        <f t="shared" si="24"/>
        <v>122.18999999999998</v>
      </c>
      <c r="P111">
        <f t="shared" si="32"/>
        <v>74.039809380426789</v>
      </c>
      <c r="Q111">
        <v>47.754466040700798</v>
      </c>
      <c r="S111">
        <f t="shared" si="26"/>
        <v>117.78181818181817</v>
      </c>
      <c r="T111">
        <f t="shared" si="33"/>
        <v>92.582455242470417</v>
      </c>
      <c r="U111">
        <v>55.905884237117</v>
      </c>
      <c r="W111">
        <f t="shared" si="27"/>
        <v>168.82916666666668</v>
      </c>
      <c r="X111">
        <f t="shared" si="28"/>
        <v>18.151002424848116</v>
      </c>
      <c r="Y111">
        <v>15.521066096349651</v>
      </c>
    </row>
    <row r="112" spans="1:25" x14ac:dyDescent="0.25">
      <c r="A112" s="7">
        <v>46107.163194270834</v>
      </c>
      <c r="B112" s="10">
        <v>177</v>
      </c>
      <c r="C112">
        <f t="shared" si="18"/>
        <v>140.94999999999999</v>
      </c>
      <c r="D112">
        <f t="shared" si="29"/>
        <v>37.152708032114738</v>
      </c>
      <c r="E112">
        <v>28.26229296377284</v>
      </c>
      <c r="G112">
        <f t="shared" si="20"/>
        <v>132</v>
      </c>
      <c r="H112">
        <f t="shared" si="30"/>
        <v>49.754578376229077</v>
      </c>
      <c r="I112">
        <v>35.600902609446869</v>
      </c>
      <c r="K112">
        <f t="shared" si="22"/>
        <v>129.25</v>
      </c>
      <c r="L112">
        <f t="shared" si="31"/>
        <v>55.051128298584814</v>
      </c>
      <c r="M112">
        <v>38.459532855233455</v>
      </c>
      <c r="O112">
        <f t="shared" si="24"/>
        <v>128.62</v>
      </c>
      <c r="P112">
        <f t="shared" si="32"/>
        <v>56.396081210083452</v>
      </c>
      <c r="Q112">
        <v>39.166636293304791</v>
      </c>
      <c r="S112">
        <f t="shared" si="26"/>
        <v>121.39999999999999</v>
      </c>
      <c r="T112">
        <f t="shared" si="33"/>
        <v>76.860932622804455</v>
      </c>
      <c r="U112">
        <v>49.140317366886386</v>
      </c>
      <c r="W112">
        <f t="shared" si="27"/>
        <v>171.19583333333333</v>
      </c>
      <c r="X112">
        <f t="shared" si="28"/>
        <v>17.19948451098081</v>
      </c>
      <c r="Y112">
        <v>14.86121027072927</v>
      </c>
    </row>
    <row r="113" spans="1:25" x14ac:dyDescent="0.25">
      <c r="A113" s="7">
        <v>46107.204860937498</v>
      </c>
      <c r="B113" s="10">
        <v>126.7</v>
      </c>
      <c r="C113">
        <f t="shared" si="18"/>
        <v>142.15</v>
      </c>
      <c r="D113">
        <f t="shared" si="29"/>
        <v>35.846704303099536</v>
      </c>
      <c r="E113">
        <v>26.735248539533359</v>
      </c>
      <c r="G113">
        <f t="shared" si="20"/>
        <v>136.29999999999998</v>
      </c>
      <c r="H113">
        <f t="shared" si="30"/>
        <v>42.975444763447022</v>
      </c>
      <c r="I113">
        <v>30.906475270394061</v>
      </c>
      <c r="K113">
        <f t="shared" si="22"/>
        <v>129.86250000000001</v>
      </c>
      <c r="L113">
        <f t="shared" si="31"/>
        <v>53.793654651750877</v>
      </c>
      <c r="M113">
        <v>36.744644937450587</v>
      </c>
      <c r="O113">
        <f t="shared" si="24"/>
        <v>129.18</v>
      </c>
      <c r="P113">
        <f t="shared" si="32"/>
        <v>55.197930382101511</v>
      </c>
      <c r="Q113">
        <v>37.46363512363731</v>
      </c>
      <c r="S113">
        <f t="shared" si="26"/>
        <v>127.17272727272726</v>
      </c>
      <c r="T113">
        <f t="shared" si="33"/>
        <v>59.701692654766568</v>
      </c>
      <c r="U113">
        <v>39.715423674624112</v>
      </c>
      <c r="W113">
        <f t="shared" si="27"/>
        <v>171.45833333333334</v>
      </c>
      <c r="X113">
        <f t="shared" si="28"/>
        <v>17.097695512754829</v>
      </c>
      <c r="Y113">
        <v>14.41410998759447</v>
      </c>
    </row>
    <row r="114" spans="1:25" x14ac:dyDescent="0.25">
      <c r="A114" s="7">
        <v>46107.246527604169</v>
      </c>
      <c r="B114" s="10">
        <v>110.8</v>
      </c>
      <c r="C114">
        <f t="shared" si="18"/>
        <v>139.19999999999999</v>
      </c>
      <c r="D114">
        <f t="shared" si="29"/>
        <v>39.191860486529109</v>
      </c>
      <c r="E114">
        <v>28.784149324619918</v>
      </c>
      <c r="G114">
        <f t="shared" si="20"/>
        <v>133.54999999999998</v>
      </c>
      <c r="H114">
        <f t="shared" si="30"/>
        <v>47.124806515796791</v>
      </c>
      <c r="I114">
        <v>33.278988311864225</v>
      </c>
      <c r="K114">
        <f t="shared" si="22"/>
        <v>128.6875</v>
      </c>
      <c r="L114">
        <f t="shared" si="31"/>
        <v>56.249384547260981</v>
      </c>
      <c r="M114">
        <v>38.076357529862563</v>
      </c>
      <c r="O114">
        <f t="shared" si="24"/>
        <v>127.15</v>
      </c>
      <c r="P114">
        <f t="shared" si="32"/>
        <v>59.756171328168548</v>
      </c>
      <c r="Q114">
        <v>39.82671890203283</v>
      </c>
      <c r="S114">
        <f t="shared" si="26"/>
        <v>128.44545454545457</v>
      </c>
      <c r="T114">
        <f t="shared" si="33"/>
        <v>56.778379943009419</v>
      </c>
      <c r="U114">
        <v>38.34351569390703</v>
      </c>
      <c r="W114">
        <f t="shared" si="27"/>
        <v>170.6875</v>
      </c>
      <c r="X114">
        <f t="shared" si="28"/>
        <v>17.398674268766957</v>
      </c>
      <c r="Y114">
        <v>14.652934633435949</v>
      </c>
    </row>
    <row r="115" spans="1:25" x14ac:dyDescent="0.25">
      <c r="A115" s="7">
        <v>46107.288194270834</v>
      </c>
      <c r="B115" s="10">
        <v>134.6</v>
      </c>
      <c r="C115">
        <f t="shared" si="18"/>
        <v>137.27500000000001</v>
      </c>
      <c r="D115">
        <f t="shared" si="29"/>
        <v>41.641896170686202</v>
      </c>
      <c r="E115">
        <v>30.51593342961668</v>
      </c>
      <c r="G115">
        <f t="shared" si="20"/>
        <v>135.66666666666666</v>
      </c>
      <c r="H115">
        <f t="shared" si="30"/>
        <v>43.878133119334272</v>
      </c>
      <c r="I115">
        <v>31.802350592947182</v>
      </c>
      <c r="K115">
        <f t="shared" si="22"/>
        <v>132.89999999999998</v>
      </c>
      <c r="L115">
        <f t="shared" si="31"/>
        <v>48.199619087663706</v>
      </c>
      <c r="M115">
        <v>34.217066495498798</v>
      </c>
      <c r="O115">
        <f t="shared" si="24"/>
        <v>128.43</v>
      </c>
      <c r="P115">
        <f t="shared" si="32"/>
        <v>56.812436882732364</v>
      </c>
      <c r="Q115">
        <v>38.773836335634201</v>
      </c>
      <c r="S115">
        <f t="shared" si="26"/>
        <v>127.5090909090909</v>
      </c>
      <c r="T115">
        <f t="shared" si="33"/>
        <v>58.905039097905174</v>
      </c>
      <c r="U115">
        <v>39.834235642210494</v>
      </c>
      <c r="W115">
        <f t="shared" si="27"/>
        <v>171.5625</v>
      </c>
      <c r="X115">
        <f t="shared" si="28"/>
        <v>17.057502882068921</v>
      </c>
      <c r="Y115">
        <v>14.55336201812967</v>
      </c>
    </row>
    <row r="116" spans="1:25" x14ac:dyDescent="0.25">
      <c r="A116" s="7">
        <v>46107.330555555556</v>
      </c>
      <c r="B116" s="10">
        <v>142.6</v>
      </c>
      <c r="C116">
        <f t="shared" si="18"/>
        <v>128.67500000000001</v>
      </c>
      <c r="D116">
        <f t="shared" si="29"/>
        <v>56.276502751134593</v>
      </c>
      <c r="E116">
        <v>39.59971938806828</v>
      </c>
      <c r="G116">
        <f t="shared" si="20"/>
        <v>139</v>
      </c>
      <c r="H116">
        <f t="shared" si="30"/>
        <v>39.43584267388399</v>
      </c>
      <c r="I116">
        <v>30.006338998237332</v>
      </c>
      <c r="K116">
        <f t="shared" si="22"/>
        <v>134.8125</v>
      </c>
      <c r="L116">
        <f t="shared" si="31"/>
        <v>45.144039371315337</v>
      </c>
      <c r="M116">
        <v>33.409616494530923</v>
      </c>
      <c r="O116">
        <f t="shared" si="24"/>
        <v>130.66999999999999</v>
      </c>
      <c r="P116">
        <f t="shared" si="32"/>
        <v>52.206698217680739</v>
      </c>
      <c r="Q116">
        <v>37.399844640481362</v>
      </c>
      <c r="S116">
        <f t="shared" si="26"/>
        <v>127.82727272727271</v>
      </c>
      <c r="T116">
        <f t="shared" si="33"/>
        <v>58.167683684553374</v>
      </c>
      <c r="U116">
        <v>40.599322602799297</v>
      </c>
      <c r="W116">
        <f t="shared" si="27"/>
        <v>171.52500000000001</v>
      </c>
      <c r="X116">
        <f t="shared" si="28"/>
        <v>17.07195920752353</v>
      </c>
      <c r="Y116">
        <v>14.93696398691047</v>
      </c>
    </row>
    <row r="117" spans="1:25" x14ac:dyDescent="0.25">
      <c r="A117" s="7">
        <v>46107.37222222222</v>
      </c>
      <c r="B117" s="10">
        <v>176.5</v>
      </c>
      <c r="C117">
        <f t="shared" si="18"/>
        <v>141.125</v>
      </c>
      <c r="D117">
        <f t="shared" si="29"/>
        <v>36.957779695586233</v>
      </c>
      <c r="E117">
        <v>28.531318210599434</v>
      </c>
      <c r="G117">
        <f t="shared" si="20"/>
        <v>144.70000000000002</v>
      </c>
      <c r="H117">
        <f t="shared" si="30"/>
        <v>33.291687516870148</v>
      </c>
      <c r="I117">
        <v>26.196908071267782</v>
      </c>
      <c r="K117">
        <f t="shared" si="22"/>
        <v>141.63749999999999</v>
      </c>
      <c r="L117">
        <f t="shared" si="31"/>
        <v>36.395799250129791</v>
      </c>
      <c r="M117">
        <v>28.178442180315109</v>
      </c>
      <c r="O117">
        <f t="shared" si="24"/>
        <v>138.22999999999996</v>
      </c>
      <c r="P117">
        <f t="shared" si="32"/>
        <v>40.397515143480234</v>
      </c>
      <c r="Q117">
        <v>30.65305225355668</v>
      </c>
      <c r="S117">
        <f t="shared" si="26"/>
        <v>129.71818181818182</v>
      </c>
      <c r="T117">
        <f t="shared" si="33"/>
        <v>54.085644137613876</v>
      </c>
      <c r="U117">
        <v>38.505170470055937</v>
      </c>
      <c r="W117">
        <f t="shared" si="27"/>
        <v>157.99583333333334</v>
      </c>
      <c r="X117">
        <f t="shared" si="28"/>
        <v>23.456063738332254</v>
      </c>
      <c r="Y117">
        <v>19.549735279079609</v>
      </c>
    </row>
    <row r="118" spans="1:25" x14ac:dyDescent="0.25">
      <c r="A118" s="7">
        <v>46107.413888773146</v>
      </c>
      <c r="B118" s="10">
        <v>150.80000000000001</v>
      </c>
      <c r="C118">
        <f t="shared" si="18"/>
        <v>151.125</v>
      </c>
      <c r="D118">
        <f t="shared" si="29"/>
        <v>27.930410436533652</v>
      </c>
      <c r="E118">
        <v>22.392566208996961</v>
      </c>
      <c r="G118">
        <f t="shared" si="20"/>
        <v>140.33333333333334</v>
      </c>
      <c r="H118">
        <f t="shared" si="30"/>
        <v>37.85227789686266</v>
      </c>
      <c r="I118">
        <v>28.760071830503549</v>
      </c>
      <c r="K118">
        <f t="shared" si="22"/>
        <v>145.16249999999999</v>
      </c>
      <c r="L118">
        <f t="shared" si="31"/>
        <v>32.857534365322842</v>
      </c>
      <c r="M118">
        <v>25.62595209060559</v>
      </c>
      <c r="O118">
        <f t="shared" si="24"/>
        <v>140.57999999999998</v>
      </c>
      <c r="P118">
        <f t="shared" si="32"/>
        <v>37.570049594705416</v>
      </c>
      <c r="Q118">
        <v>28.586747803027318</v>
      </c>
      <c r="S118">
        <f t="shared" si="26"/>
        <v>134.83636363636361</v>
      </c>
      <c r="T118">
        <f t="shared" si="33"/>
        <v>45.107887216925526</v>
      </c>
      <c r="U118">
        <v>33.0689470938038</v>
      </c>
      <c r="W118">
        <f t="shared" si="27"/>
        <v>141.52916666666667</v>
      </c>
      <c r="X118">
        <f t="shared" si="28"/>
        <v>36.513502734613418</v>
      </c>
      <c r="Y118">
        <v>27.93393704433414</v>
      </c>
    </row>
    <row r="119" spans="1:25" x14ac:dyDescent="0.25">
      <c r="A119" s="7">
        <v>46107.455555381945</v>
      </c>
      <c r="B119" s="10">
        <v>139.30000000000001</v>
      </c>
      <c r="C119">
        <f t="shared" si="18"/>
        <v>152.30000000000001</v>
      </c>
      <c r="D119">
        <f t="shared" si="29"/>
        <v>27.085787385588439</v>
      </c>
      <c r="E119">
        <v>21.774985112472688</v>
      </c>
      <c r="G119">
        <f t="shared" si="20"/>
        <v>142.43333333333331</v>
      </c>
      <c r="H119">
        <f t="shared" si="30"/>
        <v>35.548509757386832</v>
      </c>
      <c r="I119">
        <v>27.269456040889771</v>
      </c>
      <c r="K119">
        <f t="shared" si="22"/>
        <v>144.78749999999999</v>
      </c>
      <c r="L119">
        <f t="shared" si="31"/>
        <v>33.208899808881078</v>
      </c>
      <c r="M119">
        <v>25.792139039964468</v>
      </c>
      <c r="O119">
        <f t="shared" si="24"/>
        <v>142.32</v>
      </c>
      <c r="P119">
        <f t="shared" si="32"/>
        <v>35.667335702713935</v>
      </c>
      <c r="Q119">
        <v>27.343648250119763</v>
      </c>
      <c r="S119">
        <f t="shared" si="26"/>
        <v>139.37272727272725</v>
      </c>
      <c r="T119">
        <f t="shared" si="33"/>
        <v>38.983021831113795</v>
      </c>
      <c r="U119">
        <v>29.381815324184192</v>
      </c>
      <c r="W119">
        <f t="shared" si="27"/>
        <v>137.57083333333335</v>
      </c>
      <c r="X119">
        <f t="shared" si="28"/>
        <v>41.250087774271634</v>
      </c>
      <c r="Y119">
        <v>30.740591084434239</v>
      </c>
    </row>
    <row r="120" spans="1:25" x14ac:dyDescent="0.25">
      <c r="A120" s="7">
        <v>46107.497221990743</v>
      </c>
      <c r="B120" s="10">
        <v>124</v>
      </c>
      <c r="C120">
        <f t="shared" si="18"/>
        <v>147.65</v>
      </c>
      <c r="D120">
        <f t="shared" si="29"/>
        <v>30.659702704533021</v>
      </c>
      <c r="E120">
        <v>24.254794436991499</v>
      </c>
      <c r="G120">
        <f t="shared" si="20"/>
        <v>144.63333333333333</v>
      </c>
      <c r="H120">
        <f t="shared" si="30"/>
        <v>33.354969944937473</v>
      </c>
      <c r="I120">
        <v>26.002366751698542</v>
      </c>
      <c r="K120">
        <f t="shared" si="22"/>
        <v>138.16249999999999</v>
      </c>
      <c r="L120">
        <f t="shared" si="31"/>
        <v>40.483551633371185</v>
      </c>
      <c r="M120">
        <v>30.423999658790919</v>
      </c>
      <c r="O120">
        <f t="shared" si="24"/>
        <v>142.45999999999998</v>
      </c>
      <c r="P120">
        <f t="shared" si="32"/>
        <v>35.520637668577358</v>
      </c>
      <c r="Q120">
        <v>27.37598598725539</v>
      </c>
      <c r="S120">
        <f t="shared" si="26"/>
        <v>140.46363636363637</v>
      </c>
      <c r="T120">
        <f t="shared" si="33"/>
        <v>37.702785945518869</v>
      </c>
      <c r="U120">
        <v>28.733006455271031</v>
      </c>
      <c r="W120">
        <f t="shared" si="27"/>
        <v>131.59583333333333</v>
      </c>
      <c r="X120">
        <f t="shared" si="28"/>
        <v>50.479537934367968</v>
      </c>
      <c r="Y120">
        <v>36.174184845485556</v>
      </c>
    </row>
    <row r="121" spans="1:25" x14ac:dyDescent="0.25">
      <c r="A121" s="7">
        <v>46107.538888599534</v>
      </c>
      <c r="B121" s="10">
        <v>119.4</v>
      </c>
      <c r="C121">
        <f t="shared" si="18"/>
        <v>133.375</v>
      </c>
      <c r="D121">
        <f t="shared" si="29"/>
        <v>47.410353447549682</v>
      </c>
      <c r="E121">
        <v>34.585780377531513</v>
      </c>
      <c r="G121">
        <f t="shared" si="20"/>
        <v>142.1</v>
      </c>
      <c r="H121">
        <f t="shared" si="30"/>
        <v>35.899719689406325</v>
      </c>
      <c r="I121">
        <v>27.71050325007166</v>
      </c>
      <c r="K121">
        <f t="shared" si="22"/>
        <v>137.25</v>
      </c>
      <c r="L121">
        <f t="shared" si="31"/>
        <v>41.675273623223674</v>
      </c>
      <c r="M121">
        <v>31.24704622332392</v>
      </c>
      <c r="O121">
        <f t="shared" si="24"/>
        <v>140.17000000000002</v>
      </c>
      <c r="P121">
        <f t="shared" si="32"/>
        <v>38.040952209400189</v>
      </c>
      <c r="Q121">
        <v>29.043037758643248</v>
      </c>
      <c r="S121">
        <f t="shared" si="26"/>
        <v>140.65454545454543</v>
      </c>
      <c r="T121">
        <f t="shared" si="33"/>
        <v>37.485391080475743</v>
      </c>
      <c r="U121">
        <v>28.699767621496203</v>
      </c>
      <c r="W121">
        <f t="shared" si="27"/>
        <v>129.01666666666668</v>
      </c>
      <c r="X121">
        <f t="shared" si="28"/>
        <v>55.543000238430061</v>
      </c>
      <c r="Y121">
        <v>39.05711027044795</v>
      </c>
    </row>
    <row r="122" spans="1:25" x14ac:dyDescent="0.25">
      <c r="A122" s="7">
        <v>46107.580555092594</v>
      </c>
      <c r="B122" s="10">
        <v>124.2</v>
      </c>
      <c r="C122">
        <f t="shared" si="18"/>
        <v>126.72500000000001</v>
      </c>
      <c r="D122">
        <f t="shared" si="29"/>
        <v>60.7905011526191</v>
      </c>
      <c r="E122">
        <v>41.19752851177747</v>
      </c>
      <c r="G122">
        <f t="shared" si="20"/>
        <v>139.03333333333333</v>
      </c>
      <c r="H122">
        <f t="shared" si="30"/>
        <v>39.39501600989108</v>
      </c>
      <c r="I122">
        <v>29.47656936882818</v>
      </c>
      <c r="K122">
        <f t="shared" si="22"/>
        <v>138.92499999999998</v>
      </c>
      <c r="L122">
        <f t="shared" si="31"/>
        <v>39.527942585947137</v>
      </c>
      <c r="M122">
        <v>29.556230302768789</v>
      </c>
      <c r="O122">
        <f t="shared" si="24"/>
        <v>134.89000000000001</v>
      </c>
      <c r="P122">
        <f t="shared" si="32"/>
        <v>45.026799128055742</v>
      </c>
      <c r="Q122">
        <v>32.769654773516457</v>
      </c>
      <c r="S122">
        <f t="shared" si="26"/>
        <v>140.36363636363637</v>
      </c>
      <c r="T122">
        <f t="shared" si="33"/>
        <v>37.817431320966513</v>
      </c>
      <c r="U122">
        <v>28.52374578492352</v>
      </c>
      <c r="W122">
        <f t="shared" si="27"/>
        <v>128.58333333333334</v>
      </c>
      <c r="X122">
        <f t="shared" si="28"/>
        <v>56.476034873134175</v>
      </c>
      <c r="Y122">
        <v>38.994476519751942</v>
      </c>
    </row>
    <row r="123" spans="1:25" x14ac:dyDescent="0.25">
      <c r="A123" s="7">
        <v>46107.621527777781</v>
      </c>
      <c r="B123" s="10">
        <v>114.9</v>
      </c>
      <c r="C123">
        <f t="shared" si="18"/>
        <v>120.625</v>
      </c>
      <c r="D123">
        <f t="shared" si="29"/>
        <v>79.815352327298697</v>
      </c>
      <c r="E123">
        <v>50.178020496421517</v>
      </c>
      <c r="G123">
        <f t="shared" ref="G123:G136" si="34">AVERAGE(B118:B123)</f>
        <v>128.76666666666668</v>
      </c>
      <c r="H123">
        <f t="shared" si="30"/>
        <v>56.07813858620424</v>
      </c>
      <c r="I123">
        <v>38.792463810300347</v>
      </c>
      <c r="K123">
        <f t="shared" ref="K123:K136" si="35">AVERAGE(B116:B123)</f>
        <v>136.46250000000001</v>
      </c>
      <c r="L123">
        <f t="shared" si="31"/>
        <v>42.748558214792823</v>
      </c>
      <c r="M123">
        <v>31.461088541623983</v>
      </c>
      <c r="O123">
        <f t="shared" ref="O123:O136" si="36">AVERAGE(B114:B123)</f>
        <v>133.71</v>
      </c>
      <c r="P123">
        <f t="shared" si="32"/>
        <v>46.866146781856401</v>
      </c>
      <c r="Q123">
        <v>33.814287644119936</v>
      </c>
      <c r="S123">
        <f t="shared" ref="S123:S136" si="37">AVERAGE(B112:B122)</f>
        <v>138.71818181818182</v>
      </c>
      <c r="T123">
        <f t="shared" si="33"/>
        <v>39.783649277973673</v>
      </c>
      <c r="U123">
        <v>29.712678692027371</v>
      </c>
      <c r="W123">
        <f t="shared" ref="W123:W136" si="38">AVERAGE(B100:B123)</f>
        <v>128.27916666666667</v>
      </c>
      <c r="X123">
        <f t="shared" ref="X123:X136" si="39">(($AA$4/((W123/$AD$4)-$AB$4))-$AC$4)*100</f>
        <v>57.146618575654543</v>
      </c>
      <c r="Y123">
        <v>39.346512661968951</v>
      </c>
    </row>
    <row r="124" spans="1:25" x14ac:dyDescent="0.25">
      <c r="A124" s="7">
        <v>46107.663194444445</v>
      </c>
      <c r="B124" s="10">
        <v>129</v>
      </c>
      <c r="C124">
        <f t="shared" si="18"/>
        <v>121.875</v>
      </c>
      <c r="D124">
        <f t="shared" si="29"/>
        <v>75.142815152468174</v>
      </c>
      <c r="E124">
        <v>48.218346235461141</v>
      </c>
      <c r="G124">
        <f t="shared" si="34"/>
        <v>125.13333333333334</v>
      </c>
      <c r="H124">
        <f t="shared" si="30"/>
        <v>64.946317276508594</v>
      </c>
      <c r="I124">
        <v>43.385985251108359</v>
      </c>
      <c r="K124">
        <f t="shared" si="35"/>
        <v>134.76249999999999</v>
      </c>
      <c r="L124">
        <f t="shared" si="31"/>
        <v>45.21993667650672</v>
      </c>
      <c r="M124">
        <v>32.971749021478431</v>
      </c>
      <c r="O124">
        <f t="shared" si="36"/>
        <v>135.53</v>
      </c>
      <c r="P124">
        <f t="shared" si="32"/>
        <v>44.076862159293398</v>
      </c>
      <c r="Q124">
        <v>32.315553240223387</v>
      </c>
      <c r="S124">
        <f t="shared" si="37"/>
        <v>133.07272727272729</v>
      </c>
      <c r="T124">
        <f t="shared" si="33"/>
        <v>47.910178300793163</v>
      </c>
      <c r="U124">
        <v>34.490801987513024</v>
      </c>
      <c r="W124">
        <f t="shared" si="38"/>
        <v>129.38333333333333</v>
      </c>
      <c r="X124">
        <f t="shared" si="39"/>
        <v>54.773285554506437</v>
      </c>
      <c r="Y124">
        <v>38.215441517518002</v>
      </c>
    </row>
    <row r="125" spans="1:25" x14ac:dyDescent="0.25">
      <c r="A125" s="7">
        <v>46107.704861111109</v>
      </c>
      <c r="B125" s="10">
        <v>112</v>
      </c>
      <c r="C125">
        <f t="shared" si="18"/>
        <v>120.02500000000001</v>
      </c>
      <c r="D125">
        <f t="shared" si="29"/>
        <v>82.241936547137684</v>
      </c>
      <c r="E125">
        <v>54.297394202334672</v>
      </c>
      <c r="G125">
        <f t="shared" si="34"/>
        <v>120.58333333333333</v>
      </c>
      <c r="H125">
        <f t="shared" si="30"/>
        <v>79.979798646041303</v>
      </c>
      <c r="I125">
        <v>53.20362244573883</v>
      </c>
      <c r="K125">
        <f t="shared" si="35"/>
        <v>126.7</v>
      </c>
      <c r="L125">
        <f t="shared" si="31"/>
        <v>60.852280008925497</v>
      </c>
      <c r="M125">
        <v>43.432776292947139</v>
      </c>
      <c r="O125">
        <f t="shared" si="36"/>
        <v>133.27000000000001</v>
      </c>
      <c r="P125">
        <f t="shared" si="32"/>
        <v>47.58302071541798</v>
      </c>
      <c r="Q125">
        <v>35.936930738893793</v>
      </c>
      <c r="S125">
        <f t="shared" si="37"/>
        <v>133.28181818181818</v>
      </c>
      <c r="T125">
        <f t="shared" si="33"/>
        <v>47.563535769765572</v>
      </c>
      <c r="U125">
        <v>35.925378611148503</v>
      </c>
      <c r="W125">
        <f t="shared" si="38"/>
        <v>129.32083333333333</v>
      </c>
      <c r="X125">
        <f t="shared" si="39"/>
        <v>54.903234917383557</v>
      </c>
      <c r="Y125">
        <v>40.159028081901049</v>
      </c>
    </row>
    <row r="126" spans="1:25" x14ac:dyDescent="0.25">
      <c r="A126" s="7">
        <v>46107.746527662035</v>
      </c>
      <c r="B126" s="10">
        <v>124.3</v>
      </c>
      <c r="C126">
        <f t="shared" si="18"/>
        <v>120.05</v>
      </c>
      <c r="D126">
        <f t="shared" si="29"/>
        <v>82.13825686700747</v>
      </c>
      <c r="E126">
        <v>53.914616970599319</v>
      </c>
      <c r="G126">
        <f t="shared" si="34"/>
        <v>120.63333333333333</v>
      </c>
      <c r="H126">
        <f t="shared" si="30"/>
        <v>79.78253398510401</v>
      </c>
      <c r="I126">
        <v>52.786044307270267</v>
      </c>
      <c r="K126">
        <f t="shared" si="35"/>
        <v>123.3875</v>
      </c>
      <c r="L126">
        <f t="shared" si="31"/>
        <v>70.091118944830171</v>
      </c>
      <c r="M126">
        <v>48.002464053152949</v>
      </c>
      <c r="O126">
        <f t="shared" si="36"/>
        <v>131.44</v>
      </c>
      <c r="P126">
        <f t="shared" si="32"/>
        <v>50.763663138644446</v>
      </c>
      <c r="Q126">
        <v>37.60201287367007</v>
      </c>
      <c r="S126">
        <f t="shared" si="37"/>
        <v>133.39090909090908</v>
      </c>
      <c r="T126">
        <f t="shared" si="33"/>
        <v>47.384279741944525</v>
      </c>
      <c r="U126">
        <v>35.634404386976385</v>
      </c>
      <c r="W126">
        <f t="shared" si="38"/>
        <v>129.80416666666667</v>
      </c>
      <c r="X126">
        <f t="shared" si="39"/>
        <v>53.911363028130012</v>
      </c>
      <c r="Y126">
        <v>39.390083829755</v>
      </c>
    </row>
    <row r="127" spans="1:25" x14ac:dyDescent="0.25">
      <c r="A127" s="7">
        <v>46107.788194270834</v>
      </c>
      <c r="B127" s="10">
        <v>130.9</v>
      </c>
      <c r="C127">
        <f t="shared" si="18"/>
        <v>124.05000000000001</v>
      </c>
      <c r="D127">
        <f t="shared" si="29"/>
        <v>68.059294899102028</v>
      </c>
      <c r="E127">
        <v>44.676137877867838</v>
      </c>
      <c r="G127">
        <f t="shared" si="34"/>
        <v>122.55</v>
      </c>
      <c r="H127">
        <f t="shared" si="30"/>
        <v>72.813126312959824</v>
      </c>
      <c r="I127">
        <v>46.906487505823719</v>
      </c>
      <c r="K127">
        <f t="shared" si="35"/>
        <v>122.33749999999999</v>
      </c>
      <c r="L127">
        <f t="shared" si="31"/>
        <v>73.532919307183178</v>
      </c>
      <c r="M127">
        <v>47.238351665643691</v>
      </c>
      <c r="O127">
        <f t="shared" si="36"/>
        <v>126.88000000000002</v>
      </c>
      <c r="P127">
        <f t="shared" si="32"/>
        <v>60.409814630397065</v>
      </c>
      <c r="Q127">
        <v>40.933651831499802</v>
      </c>
      <c r="S127">
        <f t="shared" si="37"/>
        <v>132.45454545454547</v>
      </c>
      <c r="T127">
        <f t="shared" si="33"/>
        <v>48.959252620499512</v>
      </c>
      <c r="U127">
        <v>34.915640271573764</v>
      </c>
      <c r="W127">
        <f t="shared" si="38"/>
        <v>130.21250000000001</v>
      </c>
      <c r="X127">
        <f t="shared" si="39"/>
        <v>53.096205694212998</v>
      </c>
      <c r="Y127">
        <v>37.153297446258371</v>
      </c>
    </row>
    <row r="128" spans="1:25" x14ac:dyDescent="0.25">
      <c r="A128" s="7">
        <v>46107.830555092594</v>
      </c>
      <c r="B128" s="10">
        <v>119</v>
      </c>
      <c r="C128">
        <f t="shared" si="18"/>
        <v>121.55000000000001</v>
      </c>
      <c r="D128">
        <f t="shared" si="29"/>
        <v>76.311053619546584</v>
      </c>
      <c r="E128">
        <v>49.057006847454069</v>
      </c>
      <c r="G128">
        <f t="shared" si="34"/>
        <v>121.68333333333334</v>
      </c>
      <c r="H128">
        <f t="shared" si="30"/>
        <v>75.827986176654889</v>
      </c>
      <c r="I128">
        <v>48.834433948123312</v>
      </c>
      <c r="K128">
        <f t="shared" si="35"/>
        <v>121.71249999999999</v>
      </c>
      <c r="L128">
        <f t="shared" si="31"/>
        <v>75.723022804322369</v>
      </c>
      <c r="M128">
        <v>48.78598970884785</v>
      </c>
      <c r="O128">
        <f t="shared" si="36"/>
        <v>123.7</v>
      </c>
      <c r="P128">
        <f t="shared" si="32"/>
        <v>69.119934428358192</v>
      </c>
      <c r="Q128">
        <v>45.676310345395585</v>
      </c>
      <c r="S128">
        <f t="shared" si="37"/>
        <v>131.39090909090908</v>
      </c>
      <c r="T128">
        <f t="shared" si="33"/>
        <v>50.853709140363513</v>
      </c>
      <c r="U128">
        <v>36.315350504502383</v>
      </c>
      <c r="W128">
        <f t="shared" si="38"/>
        <v>129.70833333333334</v>
      </c>
      <c r="X128">
        <f t="shared" si="39"/>
        <v>54.10566514614996</v>
      </c>
      <c r="Y128">
        <v>38.076093798645552</v>
      </c>
    </row>
    <row r="129" spans="1:25" x14ac:dyDescent="0.25">
      <c r="A129" s="7">
        <v>46107.872221817132</v>
      </c>
      <c r="B129" s="10">
        <v>128.1</v>
      </c>
      <c r="C129">
        <f t="shared" si="18"/>
        <v>125.57499999999999</v>
      </c>
      <c r="D129">
        <f t="shared" si="29"/>
        <v>63.745986528978484</v>
      </c>
      <c r="E129">
        <v>43.195683823439964</v>
      </c>
      <c r="G129">
        <f t="shared" si="34"/>
        <v>123.88333333333334</v>
      </c>
      <c r="H129">
        <f t="shared" si="30"/>
        <v>68.560858854120013</v>
      </c>
      <c r="I129">
        <v>45.566948055243564</v>
      </c>
      <c r="K129">
        <f t="shared" si="35"/>
        <v>122.8</v>
      </c>
      <c r="L129">
        <f t="shared" si="31"/>
        <v>71.981758533112696</v>
      </c>
      <c r="M129">
        <v>47.207741434067039</v>
      </c>
      <c r="O129">
        <f t="shared" si="36"/>
        <v>122.57999999999997</v>
      </c>
      <c r="P129">
        <f t="shared" si="32"/>
        <v>72.712488926516045</v>
      </c>
      <c r="Q129">
        <v>47.553777074575223</v>
      </c>
      <c r="S129">
        <f t="shared" si="37"/>
        <v>126.16363636363639</v>
      </c>
      <c r="T129">
        <f t="shared" si="33"/>
        <v>62.203626770827945</v>
      </c>
      <c r="U129">
        <v>42.419736623714712</v>
      </c>
      <c r="W129">
        <f t="shared" si="38"/>
        <v>129.97083333333333</v>
      </c>
      <c r="X129">
        <f t="shared" si="39"/>
        <v>53.576173566553273</v>
      </c>
      <c r="Y129">
        <v>37.917033019635191</v>
      </c>
    </row>
    <row r="130" spans="1:25" x14ac:dyDescent="0.25">
      <c r="A130" s="7">
        <v>46107.913888541669</v>
      </c>
      <c r="B130" s="10">
        <v>114.7</v>
      </c>
      <c r="C130">
        <f t="shared" si="18"/>
        <v>123.175</v>
      </c>
      <c r="D130">
        <f t="shared" si="29"/>
        <v>70.765000120161289</v>
      </c>
      <c r="E130">
        <v>46.510000811329178</v>
      </c>
      <c r="G130">
        <f t="shared" si="34"/>
        <v>121.50000000000001</v>
      </c>
      <c r="H130">
        <f t="shared" si="30"/>
        <v>76.493584606035824</v>
      </c>
      <c r="I130">
        <v>49.19216829058746</v>
      </c>
      <c r="K130">
        <f t="shared" si="35"/>
        <v>121.61250000000001</v>
      </c>
      <c r="L130">
        <f t="shared" si="31"/>
        <v>76.083952046754476</v>
      </c>
      <c r="M130">
        <v>49.003371985497203</v>
      </c>
      <c r="O130">
        <f t="shared" si="36"/>
        <v>121.65</v>
      </c>
      <c r="P130">
        <f t="shared" si="32"/>
        <v>75.948254077851487</v>
      </c>
      <c r="Q130">
        <v>48.940731624882609</v>
      </c>
      <c r="S130">
        <f t="shared" si="37"/>
        <v>124.1</v>
      </c>
      <c r="T130">
        <f t="shared" si="33"/>
        <v>67.910048867714224</v>
      </c>
      <c r="U130">
        <v>45.137666407414926</v>
      </c>
      <c r="W130">
        <f t="shared" si="38"/>
        <v>129.74166666666665</v>
      </c>
      <c r="X130">
        <f t="shared" si="39"/>
        <v>54.03795100942034</v>
      </c>
      <c r="Y130">
        <v>38.075720438512676</v>
      </c>
    </row>
    <row r="131" spans="1:25" x14ac:dyDescent="0.25">
      <c r="A131" s="7">
        <v>46107.955555266206</v>
      </c>
      <c r="B131" s="10">
        <v>108.2</v>
      </c>
      <c r="C131">
        <f t="shared" si="18"/>
        <v>117.5</v>
      </c>
      <c r="D131">
        <f t="shared" si="29"/>
        <v>94.045141503398952</v>
      </c>
      <c r="E131">
        <v>58.209322083946581</v>
      </c>
      <c r="G131">
        <f t="shared" si="34"/>
        <v>120.86666666666667</v>
      </c>
      <c r="H131">
        <f t="shared" si="30"/>
        <v>78.873102339480369</v>
      </c>
      <c r="I131">
        <v>51.342068270454554</v>
      </c>
      <c r="K131">
        <f t="shared" si="35"/>
        <v>120.77500000000002</v>
      </c>
      <c r="L131">
        <f t="shared" si="31"/>
        <v>79.228209450121099</v>
      </c>
      <c r="M131">
        <v>51.508536407814056</v>
      </c>
      <c r="O131">
        <f t="shared" si="36"/>
        <v>120.53</v>
      </c>
      <c r="P131">
        <f t="shared" si="32"/>
        <v>80.19115620064882</v>
      </c>
      <c r="Q131">
        <v>51.95842867209651</v>
      </c>
      <c r="S131">
        <f t="shared" si="37"/>
        <v>121.86363636363635</v>
      </c>
      <c r="T131">
        <f t="shared" si="33"/>
        <v>75.183137973259349</v>
      </c>
      <c r="U131">
        <v>49.593748422783065</v>
      </c>
      <c r="W131">
        <f t="shared" si="38"/>
        <v>130.04583333333332</v>
      </c>
      <c r="X131">
        <f t="shared" si="39"/>
        <v>53.426456478546804</v>
      </c>
      <c r="Y131">
        <v>38.454433599054447</v>
      </c>
    </row>
    <row r="132" spans="1:25" x14ac:dyDescent="0.25">
      <c r="A132" s="7">
        <v>46107.997221990743</v>
      </c>
      <c r="B132" s="10">
        <v>128.6</v>
      </c>
      <c r="C132">
        <f t="shared" si="18"/>
        <v>119.9</v>
      </c>
      <c r="D132">
        <f t="shared" si="29"/>
        <v>82.763798057457436</v>
      </c>
      <c r="E132">
        <v>55.020471309307261</v>
      </c>
      <c r="G132">
        <f t="shared" si="34"/>
        <v>121.58333333333333</v>
      </c>
      <c r="H132">
        <f t="shared" si="30"/>
        <v>76.189786421169686</v>
      </c>
      <c r="I132">
        <v>51.773529746138955</v>
      </c>
      <c r="K132">
        <f t="shared" si="35"/>
        <v>120.72500000000002</v>
      </c>
      <c r="L132">
        <f t="shared" si="31"/>
        <v>79.423082999835685</v>
      </c>
      <c r="M132">
        <v>53.382393478014514</v>
      </c>
      <c r="O132">
        <f t="shared" si="36"/>
        <v>120.97</v>
      </c>
      <c r="P132">
        <f t="shared" si="32"/>
        <v>78.476118085909675</v>
      </c>
      <c r="Q132">
        <v>52.91366223180426</v>
      </c>
      <c r="S132">
        <f t="shared" si="37"/>
        <v>120.42727272727274</v>
      </c>
      <c r="T132">
        <f t="shared" si="33"/>
        <v>80.601024250981638</v>
      </c>
      <c r="U132">
        <v>53.962695623514747</v>
      </c>
      <c r="W132">
        <f t="shared" si="38"/>
        <v>130.1</v>
      </c>
      <c r="X132">
        <f t="shared" si="39"/>
        <v>53.318755190736631</v>
      </c>
      <c r="Y132">
        <v>39.5550953270292</v>
      </c>
    </row>
    <row r="133" spans="1:25" x14ac:dyDescent="0.25">
      <c r="A133" s="7">
        <v>46108.03888871528</v>
      </c>
      <c r="B133" s="10">
        <v>120.6</v>
      </c>
      <c r="C133">
        <f t="shared" si="18"/>
        <v>118.02500000000001</v>
      </c>
      <c r="D133">
        <f t="shared" si="29"/>
        <v>91.352498397610148</v>
      </c>
      <c r="E133">
        <v>60.062121532728561</v>
      </c>
      <c r="G133">
        <f t="shared" si="34"/>
        <v>119.86666666666667</v>
      </c>
      <c r="H133">
        <f t="shared" si="30"/>
        <v>82.903943899138582</v>
      </c>
      <c r="I133">
        <v>55.912652630593804</v>
      </c>
      <c r="K133">
        <f t="shared" si="35"/>
        <v>121.80000000000001</v>
      </c>
      <c r="L133">
        <f t="shared" si="31"/>
        <v>75.409641169473446</v>
      </c>
      <c r="M133">
        <v>52.117202936231607</v>
      </c>
      <c r="O133">
        <f t="shared" si="36"/>
        <v>121.54</v>
      </c>
      <c r="P133">
        <f t="shared" si="32"/>
        <v>76.347499209900064</v>
      </c>
      <c r="Q133">
        <v>52.598872779556814</v>
      </c>
      <c r="S133">
        <f t="shared" si="37"/>
        <v>121.26363636363635</v>
      </c>
      <c r="T133">
        <f t="shared" si="33"/>
        <v>77.36683295720475</v>
      </c>
      <c r="U133">
        <v>53.120112222881644</v>
      </c>
      <c r="W133">
        <f t="shared" si="38"/>
        <v>130.04583333333332</v>
      </c>
      <c r="X133">
        <f t="shared" si="39"/>
        <v>53.426456478546804</v>
      </c>
      <c r="Y133">
        <v>40.120829214531099</v>
      </c>
    </row>
    <row r="134" spans="1:25" x14ac:dyDescent="0.25">
      <c r="A134" s="7">
        <v>46108.080555439818</v>
      </c>
      <c r="B134" s="10">
        <v>104.3</v>
      </c>
      <c r="C134">
        <f t="shared" ref="C134:C136" si="40">AVERAGE(B131:B134)</f>
        <v>115.425</v>
      </c>
      <c r="D134">
        <f t="shared" si="29"/>
        <v>106.22653923386649</v>
      </c>
      <c r="E134">
        <v>68.390018636452211</v>
      </c>
      <c r="G134">
        <f t="shared" si="34"/>
        <v>117.41666666666667</v>
      </c>
      <c r="H134">
        <f t="shared" si="30"/>
        <v>94.485564631083534</v>
      </c>
      <c r="I134">
        <v>62.656343736265583</v>
      </c>
      <c r="K134">
        <f t="shared" si="35"/>
        <v>119.3</v>
      </c>
      <c r="L134">
        <f t="shared" si="31"/>
        <v>85.351834787631489</v>
      </c>
      <c r="M134">
        <v>58.07782054009796</v>
      </c>
      <c r="O134">
        <f t="shared" si="36"/>
        <v>119.07000000000001</v>
      </c>
      <c r="P134">
        <f t="shared" si="32"/>
        <v>86.381995305017469</v>
      </c>
      <c r="Q134">
        <v>58.600567197976261</v>
      </c>
      <c r="S134">
        <f t="shared" si="37"/>
        <v>120.93636363636364</v>
      </c>
      <c r="T134">
        <f t="shared" si="33"/>
        <v>78.604958282683171</v>
      </c>
      <c r="U134">
        <v>54.607503974954788</v>
      </c>
      <c r="W134">
        <f t="shared" si="38"/>
        <v>129.28333333333333</v>
      </c>
      <c r="X134">
        <f t="shared" si="39"/>
        <v>54.981449437082176</v>
      </c>
      <c r="Y134">
        <v>41.59433546046813</v>
      </c>
    </row>
    <row r="135" spans="1:25" x14ac:dyDescent="0.25">
      <c r="A135" s="7">
        <v>46108.12222222222</v>
      </c>
      <c r="B135" s="10">
        <v>124.8</v>
      </c>
      <c r="C135">
        <f t="shared" si="40"/>
        <v>119.575</v>
      </c>
      <c r="D135">
        <f t="shared" si="29"/>
        <v>84.148230065844814</v>
      </c>
      <c r="E135">
        <v>57.299028386116525</v>
      </c>
      <c r="G135">
        <f t="shared" si="34"/>
        <v>116.86666666666666</v>
      </c>
      <c r="H135">
        <f t="shared" si="30"/>
        <v>97.487152857353124</v>
      </c>
      <c r="I135">
        <v>63.934770782009608</v>
      </c>
      <c r="K135">
        <f t="shared" si="35"/>
        <v>118.53749999999999</v>
      </c>
      <c r="L135">
        <f t="shared" si="31"/>
        <v>88.853266095298139</v>
      </c>
      <c r="M135">
        <v>59.66978392720452</v>
      </c>
      <c r="O135">
        <f t="shared" si="36"/>
        <v>120.35</v>
      </c>
      <c r="P135">
        <f t="shared" si="32"/>
        <v>80.911755061143751</v>
      </c>
      <c r="Q135">
        <v>55.645860154679369</v>
      </c>
      <c r="S135">
        <f t="shared" si="37"/>
        <v>119.97272727272728</v>
      </c>
      <c r="T135">
        <f t="shared" si="33"/>
        <v>82.459464971548755</v>
      </c>
      <c r="U135">
        <v>56.43883568708744</v>
      </c>
      <c r="W135">
        <f t="shared" si="38"/>
        <v>128.55416666666665</v>
      </c>
      <c r="X135">
        <f t="shared" si="39"/>
        <v>56.539768972796708</v>
      </c>
      <c r="Y135">
        <v>42.401284305678189</v>
      </c>
    </row>
    <row r="136" spans="1:25" x14ac:dyDescent="0.25">
      <c r="A136" s="7">
        <v>46108.163888888892</v>
      </c>
      <c r="B136" s="10">
        <v>120.1</v>
      </c>
      <c r="C136">
        <f t="shared" si="40"/>
        <v>117.44999999999999</v>
      </c>
      <c r="D136">
        <f t="shared" si="29"/>
        <v>94.308955039200498</v>
      </c>
      <c r="E136">
        <v>62.091770282528337</v>
      </c>
      <c r="G136">
        <f t="shared" si="34"/>
        <v>117.76666666666667</v>
      </c>
      <c r="H136">
        <f t="shared" si="30"/>
        <v>92.660062300870209</v>
      </c>
      <c r="I136">
        <v>61.28479844299676</v>
      </c>
      <c r="K136">
        <f t="shared" si="35"/>
        <v>118.675</v>
      </c>
      <c r="L136">
        <f t="shared" si="31"/>
        <v>88.203271096262</v>
      </c>
      <c r="M136">
        <v>59.083913449262482</v>
      </c>
      <c r="O136">
        <f t="shared" si="36"/>
        <v>119.92999999999999</v>
      </c>
      <c r="P136">
        <f t="shared" si="32"/>
        <v>82.638022092853149</v>
      </c>
      <c r="Q136">
        <v>56.290351332924381</v>
      </c>
      <c r="S136">
        <f t="shared" si="37"/>
        <v>119.59090909090909</v>
      </c>
      <c r="T136">
        <f t="shared" si="33"/>
        <v>84.079514754068498</v>
      </c>
      <c r="U136">
        <v>57.019158383933288</v>
      </c>
      <c r="W136">
        <f t="shared" si="38"/>
        <v>126.18333333333332</v>
      </c>
      <c r="X136">
        <f t="shared" si="39"/>
        <v>62.153108816395566</v>
      </c>
      <c r="Y136">
        <v>45.43052499851067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E6CE-2A71-4332-A53D-03D588012676}">
  <dimension ref="A1:I136"/>
  <sheetViews>
    <sheetView tabSelected="1" topLeftCell="C1" zoomScale="77" zoomScaleNormal="77" workbookViewId="0">
      <selection activeCell="F106" sqref="F106"/>
    </sheetView>
  </sheetViews>
  <sheetFormatPr defaultRowHeight="14.3" x14ac:dyDescent="0.25"/>
  <cols>
    <col min="1" max="1" width="16.625" style="6" bestFit="1" customWidth="1"/>
    <col min="2" max="2" width="8.625" customWidth="1"/>
    <col min="3" max="3" width="11.125" bestFit="1" customWidth="1"/>
    <col min="4" max="5" width="8.625" customWidth="1"/>
    <col min="6" max="6" width="25.125" bestFit="1" customWidth="1"/>
    <col min="7" max="7" width="26.375" bestFit="1" customWidth="1"/>
    <col min="8" max="8" width="30.25" bestFit="1" customWidth="1"/>
    <col min="9" max="9" width="28.375" bestFit="1" customWidth="1"/>
    <col min="11" max="11" width="24.625" bestFit="1" customWidth="1"/>
    <col min="12" max="12" width="29.125" bestFit="1" customWidth="1"/>
    <col min="13" max="13" width="25.625" bestFit="1" customWidth="1"/>
  </cols>
  <sheetData>
    <row r="1" spans="1:6" x14ac:dyDescent="0.25">
      <c r="A1" s="8" t="s">
        <v>17</v>
      </c>
      <c r="B1" s="1" t="s">
        <v>13</v>
      </c>
      <c r="C1" s="1" t="s">
        <v>14</v>
      </c>
      <c r="D1" s="1" t="s">
        <v>15</v>
      </c>
      <c r="E1" s="1" t="s">
        <v>9</v>
      </c>
    </row>
    <row r="2" spans="1:6" x14ac:dyDescent="0.25">
      <c r="A2" s="7">
        <v>46102.577777777777</v>
      </c>
      <c r="B2" s="1">
        <v>0</v>
      </c>
      <c r="C2" s="1">
        <v>0</v>
      </c>
      <c r="D2" s="1">
        <v>0</v>
      </c>
      <c r="E2" s="1">
        <v>0</v>
      </c>
      <c r="F2" s="1"/>
    </row>
    <row r="3" spans="1:6" x14ac:dyDescent="0.25">
      <c r="A3" s="7">
        <v>46102.619444444441</v>
      </c>
      <c r="B3" s="1">
        <v>0</v>
      </c>
      <c r="C3" s="1">
        <v>0</v>
      </c>
      <c r="D3" s="1">
        <v>0</v>
      </c>
      <c r="E3" s="1">
        <v>0</v>
      </c>
      <c r="F3" s="1"/>
    </row>
    <row r="4" spans="1:6" x14ac:dyDescent="0.25">
      <c r="A4" s="7">
        <v>46102.661111053239</v>
      </c>
      <c r="B4" s="1">
        <v>-4.72</v>
      </c>
      <c r="C4" s="1">
        <v>15.09</v>
      </c>
      <c r="D4" s="1">
        <v>58.13</v>
      </c>
      <c r="E4" s="1">
        <v>409.4</v>
      </c>
      <c r="F4" s="1"/>
    </row>
    <row r="5" spans="1:6" x14ac:dyDescent="0.25">
      <c r="A5" s="7">
        <v>46102.702777719911</v>
      </c>
      <c r="B5" s="1">
        <v>4.51</v>
      </c>
      <c r="C5" s="1">
        <v>19.98</v>
      </c>
      <c r="D5" s="1">
        <v>-37.590000000000003</v>
      </c>
      <c r="E5" s="1">
        <v>229.7</v>
      </c>
      <c r="F5" s="1"/>
    </row>
    <row r="6" spans="1:6" x14ac:dyDescent="0.25">
      <c r="A6" s="7">
        <v>46102.744444386575</v>
      </c>
      <c r="B6" s="1">
        <v>4.75</v>
      </c>
      <c r="C6" s="1">
        <v>20.100000000000001</v>
      </c>
      <c r="D6" s="1">
        <v>-35.869999999999997</v>
      </c>
      <c r="E6" s="1">
        <v>227.7</v>
      </c>
      <c r="F6" s="1"/>
    </row>
    <row r="7" spans="1:6" x14ac:dyDescent="0.25">
      <c r="A7" s="7">
        <v>46102.786111053239</v>
      </c>
      <c r="B7" s="1">
        <v>16.59</v>
      </c>
      <c r="C7" s="1">
        <v>26.38</v>
      </c>
      <c r="D7" s="1">
        <v>13.29</v>
      </c>
      <c r="E7" s="1">
        <v>172.8</v>
      </c>
      <c r="F7" s="1"/>
    </row>
    <row r="8" spans="1:6" x14ac:dyDescent="0.25">
      <c r="A8" s="7">
        <v>46102.828472222223</v>
      </c>
      <c r="B8" s="1">
        <v>26.61</v>
      </c>
      <c r="C8" s="1">
        <v>31.68</v>
      </c>
      <c r="D8" s="1">
        <v>20.36</v>
      </c>
      <c r="E8" s="1">
        <v>153</v>
      </c>
      <c r="F8" s="1"/>
    </row>
    <row r="9" spans="1:6" x14ac:dyDescent="0.25">
      <c r="A9" s="7">
        <v>46102.870138888888</v>
      </c>
      <c r="B9" s="1">
        <v>24.29</v>
      </c>
      <c r="C9" s="1">
        <v>30.45</v>
      </c>
      <c r="D9" s="1">
        <v>19.170000000000002</v>
      </c>
      <c r="E9" s="1">
        <v>156.6</v>
      </c>
      <c r="F9" s="1"/>
    </row>
    <row r="10" spans="1:6" x14ac:dyDescent="0.25">
      <c r="A10" s="7">
        <v>46102.911805439813</v>
      </c>
      <c r="B10" s="1">
        <v>22.24</v>
      </c>
      <c r="C10" s="1">
        <v>29.37</v>
      </c>
      <c r="D10" s="1">
        <v>18.010000000000002</v>
      </c>
      <c r="E10" s="1">
        <v>160.19999999999999</v>
      </c>
      <c r="F10" s="1"/>
    </row>
    <row r="11" spans="1:6" x14ac:dyDescent="0.25">
      <c r="A11" s="7">
        <v>46102.953472048612</v>
      </c>
      <c r="B11" s="1">
        <v>58.32</v>
      </c>
      <c r="C11" s="1">
        <v>48.48</v>
      </c>
      <c r="D11" s="1">
        <v>39.35</v>
      </c>
      <c r="E11" s="1">
        <v>127.8</v>
      </c>
      <c r="F11" s="1"/>
    </row>
    <row r="12" spans="1:6" x14ac:dyDescent="0.25">
      <c r="A12" s="7">
        <v>46102.99513865741</v>
      </c>
      <c r="B12" s="1">
        <v>25.09</v>
      </c>
      <c r="C12" s="1">
        <v>30.88</v>
      </c>
      <c r="D12" s="1">
        <v>20.11</v>
      </c>
      <c r="E12" s="1">
        <v>155.30000000000001</v>
      </c>
      <c r="F12" s="1"/>
    </row>
    <row r="13" spans="1:6" x14ac:dyDescent="0.25">
      <c r="A13" s="7">
        <v>46103.036805266202</v>
      </c>
      <c r="B13" s="1">
        <v>81.03</v>
      </c>
      <c r="C13" s="1">
        <v>60.51</v>
      </c>
      <c r="D13" s="1">
        <v>50.21</v>
      </c>
      <c r="E13" s="1">
        <v>120.3</v>
      </c>
      <c r="F13" s="1"/>
    </row>
    <row r="14" spans="1:6" x14ac:dyDescent="0.25">
      <c r="A14" s="7">
        <v>46103.078471875</v>
      </c>
      <c r="B14" s="1">
        <v>207.33</v>
      </c>
      <c r="C14" s="1">
        <v>127.46</v>
      </c>
      <c r="D14" s="1">
        <v>93.23</v>
      </c>
      <c r="E14" s="1">
        <v>107.1</v>
      </c>
      <c r="F14" s="1"/>
    </row>
    <row r="15" spans="1:6" x14ac:dyDescent="0.25">
      <c r="A15" s="7">
        <v>46103.120138483799</v>
      </c>
      <c r="B15" s="1">
        <v>238.01</v>
      </c>
      <c r="C15" s="1">
        <v>147.72999999999999</v>
      </c>
      <c r="D15" s="1">
        <v>101.71</v>
      </c>
      <c r="E15" s="1">
        <v>105.9</v>
      </c>
      <c r="F15" s="1"/>
    </row>
    <row r="16" spans="1:6" x14ac:dyDescent="0.25">
      <c r="A16" s="7">
        <v>46103.16180509259</v>
      </c>
      <c r="B16" s="1">
        <v>115.6</v>
      </c>
      <c r="C16" s="1">
        <v>78.83</v>
      </c>
      <c r="D16" s="1">
        <v>63.62</v>
      </c>
      <c r="E16" s="1">
        <v>114.1</v>
      </c>
      <c r="F16" s="1"/>
    </row>
    <row r="17" spans="1:9" x14ac:dyDescent="0.25">
      <c r="A17" s="7">
        <v>46103.203471701388</v>
      </c>
      <c r="B17" s="1">
        <v>20.6</v>
      </c>
      <c r="C17" s="1">
        <v>28.5</v>
      </c>
      <c r="D17" s="1">
        <v>17.05</v>
      </c>
      <c r="E17" s="1">
        <v>163.4</v>
      </c>
      <c r="F17" s="1"/>
    </row>
    <row r="18" spans="1:9" x14ac:dyDescent="0.25">
      <c r="A18" s="7">
        <v>46103.245138310187</v>
      </c>
      <c r="B18" s="1">
        <v>286.55</v>
      </c>
      <c r="C18" s="1">
        <v>169.49</v>
      </c>
      <c r="D18" s="1">
        <v>119.35</v>
      </c>
      <c r="E18" s="1">
        <v>104.5</v>
      </c>
      <c r="F18" s="1"/>
    </row>
    <row r="19" spans="1:9" x14ac:dyDescent="0.25">
      <c r="A19" s="7">
        <v>46103.286804918978</v>
      </c>
      <c r="B19" s="1">
        <v>41.97</v>
      </c>
      <c r="C19" s="1">
        <v>39.82</v>
      </c>
      <c r="D19" s="1">
        <v>31.09</v>
      </c>
      <c r="E19" s="1">
        <v>137</v>
      </c>
      <c r="F19" s="1"/>
    </row>
    <row r="20" spans="1:9" x14ac:dyDescent="0.25">
      <c r="A20" s="7">
        <v>46103.328471527777</v>
      </c>
      <c r="B20" s="1">
        <v>255.17</v>
      </c>
      <c r="C20" s="1">
        <v>152.83000000000001</v>
      </c>
      <c r="D20" s="1">
        <v>106.14</v>
      </c>
      <c r="E20" s="1">
        <v>105.4</v>
      </c>
      <c r="F20" s="1"/>
    </row>
    <row r="21" spans="1:9" x14ac:dyDescent="0.25">
      <c r="A21" s="7">
        <v>46103.370138136575</v>
      </c>
      <c r="B21" s="1">
        <v>218.54</v>
      </c>
      <c r="C21" s="1">
        <v>133.41</v>
      </c>
      <c r="D21" s="1">
        <v>89.18</v>
      </c>
      <c r="E21" s="1">
        <v>106.6</v>
      </c>
      <c r="F21" s="1"/>
    </row>
    <row r="22" spans="1:9" x14ac:dyDescent="0.25">
      <c r="A22" s="7">
        <v>46103.411804745374</v>
      </c>
      <c r="B22" s="1">
        <v>136.57</v>
      </c>
      <c r="C22" s="1">
        <v>89.94</v>
      </c>
      <c r="D22" s="1">
        <v>62.51</v>
      </c>
      <c r="E22" s="1">
        <v>111.7</v>
      </c>
      <c r="F22" s="1"/>
    </row>
    <row r="23" spans="1:9" x14ac:dyDescent="0.25">
      <c r="A23" s="7">
        <v>46103.453471354165</v>
      </c>
      <c r="B23" s="1">
        <v>13.68</v>
      </c>
      <c r="C23" s="1">
        <v>24.83</v>
      </c>
      <c r="D23" s="1">
        <v>-27.64</v>
      </c>
      <c r="E23" s="1">
        <v>181.5</v>
      </c>
      <c r="F23" s="1"/>
    </row>
    <row r="24" spans="1:9" x14ac:dyDescent="0.25">
      <c r="A24" s="20">
        <v>46103.495137962964</v>
      </c>
      <c r="B24" s="1">
        <v>-2.68</v>
      </c>
      <c r="C24" s="1">
        <v>16.170000000000002</v>
      </c>
      <c r="D24" s="1">
        <v>-50.81</v>
      </c>
      <c r="E24" s="5">
        <v>337.4</v>
      </c>
      <c r="F24" s="1"/>
    </row>
    <row r="25" spans="1:9" x14ac:dyDescent="0.25">
      <c r="A25" s="20">
        <v>46103.536804571762</v>
      </c>
      <c r="B25" s="1">
        <v>-8.51</v>
      </c>
      <c r="C25" s="1">
        <v>13.08</v>
      </c>
      <c r="D25" s="1">
        <v>-331.29</v>
      </c>
      <c r="E25" s="5">
        <v>804.7</v>
      </c>
      <c r="F25" s="1"/>
    </row>
    <row r="26" spans="1:9" x14ac:dyDescent="0.25">
      <c r="A26" s="20">
        <v>46103.578471180554</v>
      </c>
      <c r="B26" s="1">
        <v>-9.48</v>
      </c>
      <c r="C26" s="1">
        <v>12.57</v>
      </c>
      <c r="D26" s="1">
        <v>-625.95000000000005</v>
      </c>
      <c r="E26" s="5">
        <v>1144</v>
      </c>
      <c r="F26" s="1"/>
    </row>
    <row r="27" spans="1:9" x14ac:dyDescent="0.25">
      <c r="A27" s="20">
        <v>46103.620137789352</v>
      </c>
      <c r="B27" s="1">
        <v>-7.21</v>
      </c>
      <c r="C27" s="1">
        <v>13.77</v>
      </c>
      <c r="D27" s="1">
        <v>-159.94</v>
      </c>
      <c r="E27" s="5">
        <v>590.6</v>
      </c>
      <c r="F27" t="s">
        <v>21</v>
      </c>
      <c r="G27" t="s">
        <v>18</v>
      </c>
      <c r="H27" t="s">
        <v>19</v>
      </c>
      <c r="I27" t="s">
        <v>20</v>
      </c>
    </row>
    <row r="28" spans="1:9" x14ac:dyDescent="0.25">
      <c r="A28" s="20">
        <v>46103.661804398151</v>
      </c>
      <c r="B28" s="1">
        <v>-2.85</v>
      </c>
      <c r="C28" s="1">
        <v>16.079999999999998</v>
      </c>
      <c r="D28" s="1">
        <v>-53.27</v>
      </c>
      <c r="E28" s="5">
        <v>342.1</v>
      </c>
      <c r="F28" s="21">
        <f>AVERAGE(E4:E28)</f>
        <v>254.75200000000001</v>
      </c>
      <c r="G28">
        <f t="shared" ref="G28:G59" si="0">AVERAGE(B4:B28)</f>
        <v>70.48</v>
      </c>
      <c r="H28">
        <f t="shared" ref="H28:H59" si="1">AVERAGE(C4:C28)</f>
        <v>55.097199999999994</v>
      </c>
      <c r="I28">
        <f t="shared" ref="I28:I43" si="2">AVERAGE(D4:D28)</f>
        <v>-15.994000000000005</v>
      </c>
    </row>
    <row r="29" spans="1:9" x14ac:dyDescent="0.25">
      <c r="A29" s="7">
        <v>46103.703471006942</v>
      </c>
      <c r="B29" s="1">
        <v>4.1500000000000004</v>
      </c>
      <c r="C29" s="1">
        <v>19.79</v>
      </c>
      <c r="D29" s="1">
        <v>-38.979999999999997</v>
      </c>
      <c r="E29" s="1">
        <v>232.7</v>
      </c>
      <c r="F29" s="21">
        <f t="shared" ref="F29:F92" si="3">AVERAGE(E5:E29)</f>
        <v>247.68400000000003</v>
      </c>
      <c r="G29">
        <f t="shared" si="0"/>
        <v>70.834800000000001</v>
      </c>
      <c r="H29">
        <f t="shared" si="1"/>
        <v>55.285199999999996</v>
      </c>
      <c r="I29">
        <f t="shared" si="2"/>
        <v>-19.878400000000003</v>
      </c>
    </row>
    <row r="30" spans="1:9" x14ac:dyDescent="0.25">
      <c r="A30" s="7">
        <v>46103.745137615741</v>
      </c>
      <c r="B30" s="1">
        <v>11.55</v>
      </c>
      <c r="C30" s="1">
        <v>23.71</v>
      </c>
      <c r="D30" s="1">
        <v>-29.73</v>
      </c>
      <c r="E30" s="1">
        <v>189.3</v>
      </c>
      <c r="F30" s="21">
        <f t="shared" si="3"/>
        <v>246.06800000000004</v>
      </c>
      <c r="G30">
        <f t="shared" si="0"/>
        <v>71.116399999999999</v>
      </c>
      <c r="H30">
        <f t="shared" si="1"/>
        <v>55.434399999999997</v>
      </c>
      <c r="I30">
        <f t="shared" si="2"/>
        <v>-19.564000000000007</v>
      </c>
    </row>
    <row r="31" spans="1:9" x14ac:dyDescent="0.25">
      <c r="A31" s="7">
        <v>46103.786804224539</v>
      </c>
      <c r="B31" s="1">
        <v>30.62</v>
      </c>
      <c r="C31" s="1">
        <v>33.799999999999997</v>
      </c>
      <c r="D31" s="1">
        <v>21.34</v>
      </c>
      <c r="E31" s="1">
        <v>147.69999999999999</v>
      </c>
      <c r="F31" s="21">
        <f t="shared" si="3"/>
        <v>242.86800000000002</v>
      </c>
      <c r="G31">
        <f t="shared" si="0"/>
        <v>72.151200000000003</v>
      </c>
      <c r="H31">
        <f t="shared" si="1"/>
        <v>55.982399999999998</v>
      </c>
      <c r="I31">
        <f t="shared" si="2"/>
        <v>-17.275600000000001</v>
      </c>
    </row>
    <row r="32" spans="1:9" x14ac:dyDescent="0.25">
      <c r="A32" s="7">
        <v>46103.82916666667</v>
      </c>
      <c r="B32" s="1">
        <v>34.85</v>
      </c>
      <c r="C32" s="1">
        <v>36.049999999999997</v>
      </c>
      <c r="D32" s="1">
        <v>24.47</v>
      </c>
      <c r="E32" s="1">
        <v>143.1</v>
      </c>
      <c r="F32" s="21">
        <f t="shared" si="3"/>
        <v>241.68000000000004</v>
      </c>
      <c r="G32">
        <f t="shared" si="0"/>
        <v>72.881599999999992</v>
      </c>
      <c r="H32">
        <f t="shared" si="1"/>
        <v>56.369199999999992</v>
      </c>
      <c r="I32">
        <f t="shared" si="2"/>
        <v>-16.828400000000009</v>
      </c>
    </row>
    <row r="33" spans="1:9" x14ac:dyDescent="0.25">
      <c r="A33" s="7">
        <v>46103.870833333334</v>
      </c>
      <c r="B33" s="1">
        <v>44.53</v>
      </c>
      <c r="C33" s="1">
        <v>41.17</v>
      </c>
      <c r="D33" s="1">
        <v>30.74</v>
      </c>
      <c r="E33" s="1">
        <v>135.19999999999999</v>
      </c>
      <c r="F33" s="21">
        <f t="shared" si="3"/>
        <v>240.96800000000002</v>
      </c>
      <c r="G33">
        <f t="shared" si="0"/>
        <v>73.598399999999998</v>
      </c>
      <c r="H33">
        <f t="shared" si="1"/>
        <v>56.748800000000003</v>
      </c>
      <c r="I33">
        <f t="shared" si="2"/>
        <v>-16.413200000000007</v>
      </c>
    </row>
    <row r="34" spans="1:9" x14ac:dyDescent="0.25">
      <c r="A34" s="7">
        <v>46103.912499999999</v>
      </c>
      <c r="B34" s="1">
        <v>41.45</v>
      </c>
      <c r="C34" s="1">
        <v>39.54</v>
      </c>
      <c r="D34" s="1">
        <v>29.82</v>
      </c>
      <c r="E34" s="1">
        <v>137.4</v>
      </c>
      <c r="F34" s="21">
        <f t="shared" si="3"/>
        <v>240.20000000000005</v>
      </c>
      <c r="G34">
        <f t="shared" si="0"/>
        <v>74.28479999999999</v>
      </c>
      <c r="H34">
        <f t="shared" si="1"/>
        <v>57.112400000000001</v>
      </c>
      <c r="I34">
        <f t="shared" si="2"/>
        <v>-15.987200000000009</v>
      </c>
    </row>
    <row r="35" spans="1:9" x14ac:dyDescent="0.25">
      <c r="A35" s="7">
        <v>46103.95416666667</v>
      </c>
      <c r="B35" s="1">
        <v>171.54</v>
      </c>
      <c r="C35" s="1">
        <v>108.48</v>
      </c>
      <c r="D35" s="1">
        <v>82.13</v>
      </c>
      <c r="E35" s="1">
        <v>109</v>
      </c>
      <c r="F35" s="21">
        <f t="shared" si="3"/>
        <v>238.15200000000002</v>
      </c>
      <c r="G35">
        <f t="shared" si="0"/>
        <v>80.256799999999998</v>
      </c>
      <c r="H35">
        <f t="shared" si="1"/>
        <v>60.276799999999987</v>
      </c>
      <c r="I35">
        <f t="shared" si="2"/>
        <v>-13.422400000000009</v>
      </c>
    </row>
    <row r="36" spans="1:9" x14ac:dyDescent="0.25">
      <c r="A36" s="7">
        <v>46103.995833333334</v>
      </c>
      <c r="B36" s="1">
        <v>59.54</v>
      </c>
      <c r="C36" s="1">
        <v>49.08</v>
      </c>
      <c r="D36" s="1">
        <v>40.32</v>
      </c>
      <c r="E36" s="1">
        <v>127.3</v>
      </c>
      <c r="F36" s="21">
        <f t="shared" si="3"/>
        <v>238.13200000000001</v>
      </c>
      <c r="G36">
        <f t="shared" si="0"/>
        <v>80.305599999999998</v>
      </c>
      <c r="H36">
        <f t="shared" si="1"/>
        <v>60.300799999999988</v>
      </c>
      <c r="I36">
        <f t="shared" si="2"/>
        <v>-13.383600000000001</v>
      </c>
    </row>
    <row r="37" spans="1:9" x14ac:dyDescent="0.25">
      <c r="A37" s="7">
        <v>46104.036805555559</v>
      </c>
      <c r="B37" s="1">
        <v>45.99</v>
      </c>
      <c r="C37" s="1">
        <v>41.95</v>
      </c>
      <c r="D37" s="1">
        <v>33.380000000000003</v>
      </c>
      <c r="E37" s="1">
        <v>134.30000000000001</v>
      </c>
      <c r="F37" s="21">
        <f t="shared" si="3"/>
        <v>237.29200000000003</v>
      </c>
      <c r="G37">
        <f t="shared" si="0"/>
        <v>81.141599999999997</v>
      </c>
      <c r="H37">
        <f t="shared" si="1"/>
        <v>60.743599999999986</v>
      </c>
      <c r="I37">
        <f t="shared" si="2"/>
        <v>-12.852800000000007</v>
      </c>
    </row>
    <row r="38" spans="1:9" x14ac:dyDescent="0.25">
      <c r="A38" s="7">
        <v>46104.078472222223</v>
      </c>
      <c r="B38" s="1">
        <v>89.53</v>
      </c>
      <c r="C38" s="1">
        <v>65.02</v>
      </c>
      <c r="D38" s="1">
        <v>54.8</v>
      </c>
      <c r="E38" s="1">
        <v>118.4</v>
      </c>
      <c r="F38" s="21">
        <f t="shared" si="3"/>
        <v>237.21600000000001</v>
      </c>
      <c r="G38">
        <f t="shared" si="0"/>
        <v>81.4816</v>
      </c>
      <c r="H38">
        <f t="shared" si="1"/>
        <v>60.923999999999999</v>
      </c>
      <c r="I38">
        <f t="shared" si="2"/>
        <v>-12.669199999999996</v>
      </c>
    </row>
    <row r="39" spans="1:9" x14ac:dyDescent="0.25">
      <c r="A39" s="7">
        <v>46104.120138888888</v>
      </c>
      <c r="B39" s="1">
        <v>53.06</v>
      </c>
      <c r="C39" s="1">
        <v>45.69</v>
      </c>
      <c r="D39" s="1">
        <v>37.57</v>
      </c>
      <c r="E39" s="1">
        <v>130.19999999999999</v>
      </c>
      <c r="F39" s="21">
        <f t="shared" si="3"/>
        <v>238.13999999999996</v>
      </c>
      <c r="G39">
        <f t="shared" si="0"/>
        <v>75.310799999999986</v>
      </c>
      <c r="H39">
        <f t="shared" si="1"/>
        <v>57.653200000000005</v>
      </c>
      <c r="I39">
        <f t="shared" si="2"/>
        <v>-14.895599999999996</v>
      </c>
    </row>
    <row r="40" spans="1:9" x14ac:dyDescent="0.25">
      <c r="A40" s="7">
        <v>46104.161805555559</v>
      </c>
      <c r="B40" s="1">
        <v>72.55</v>
      </c>
      <c r="C40" s="1">
        <v>56.02</v>
      </c>
      <c r="D40" s="1">
        <v>47.56</v>
      </c>
      <c r="E40" s="1">
        <v>122.6</v>
      </c>
      <c r="F40" s="21">
        <f t="shared" si="3"/>
        <v>238.80799999999999</v>
      </c>
      <c r="G40">
        <f t="shared" si="0"/>
        <v>68.692399999999992</v>
      </c>
      <c r="H40">
        <f t="shared" si="1"/>
        <v>53.984799999999993</v>
      </c>
      <c r="I40">
        <f t="shared" si="2"/>
        <v>-17.061599999999995</v>
      </c>
    </row>
    <row r="41" spans="1:9" x14ac:dyDescent="0.25">
      <c r="A41" s="7">
        <v>46104.203472222223</v>
      </c>
      <c r="B41" s="1">
        <v>81.17</v>
      </c>
      <c r="C41" s="1">
        <v>60.58</v>
      </c>
      <c r="D41" s="1">
        <v>51.79</v>
      </c>
      <c r="E41" s="1">
        <v>120.3</v>
      </c>
      <c r="F41" s="21">
        <f t="shared" si="3"/>
        <v>239.05599999999998</v>
      </c>
      <c r="G41">
        <f t="shared" si="0"/>
        <v>67.31519999999999</v>
      </c>
      <c r="H41">
        <f t="shared" si="1"/>
        <v>53.254799999999996</v>
      </c>
      <c r="I41">
        <f t="shared" si="2"/>
        <v>-17.534800000000001</v>
      </c>
    </row>
    <row r="42" spans="1:9" x14ac:dyDescent="0.25">
      <c r="A42" s="7">
        <v>46104.245138888888</v>
      </c>
      <c r="B42" s="1">
        <v>205.84</v>
      </c>
      <c r="C42" s="1">
        <v>126.69</v>
      </c>
      <c r="D42" s="1">
        <v>99.59</v>
      </c>
      <c r="E42" s="1">
        <v>107.2</v>
      </c>
      <c r="F42" s="21">
        <f t="shared" si="3"/>
        <v>236.80799999999999</v>
      </c>
      <c r="G42">
        <f t="shared" si="0"/>
        <v>74.724799999999988</v>
      </c>
      <c r="H42">
        <f t="shared" si="1"/>
        <v>57.182400000000001</v>
      </c>
      <c r="I42">
        <f t="shared" si="2"/>
        <v>-14.233199999999997</v>
      </c>
    </row>
    <row r="43" spans="1:9" x14ac:dyDescent="0.25">
      <c r="A43" s="7">
        <v>46104.286805555559</v>
      </c>
      <c r="B43" s="1">
        <v>121.27</v>
      </c>
      <c r="C43" s="1">
        <v>81.83</v>
      </c>
      <c r="D43" s="1">
        <v>68.23</v>
      </c>
      <c r="E43" s="1">
        <v>113.4</v>
      </c>
      <c r="F43" s="21">
        <f t="shared" si="3"/>
        <v>237.16399999999999</v>
      </c>
      <c r="G43">
        <f t="shared" si="0"/>
        <v>68.113599999999991</v>
      </c>
      <c r="H43">
        <f t="shared" si="1"/>
        <v>53.675999999999995</v>
      </c>
      <c r="I43">
        <f t="shared" si="2"/>
        <v>-16.277999999999999</v>
      </c>
    </row>
    <row r="44" spans="1:9" x14ac:dyDescent="0.25">
      <c r="A44" s="7">
        <v>46104.328472222223</v>
      </c>
      <c r="B44" s="3">
        <v>78.62</v>
      </c>
      <c r="C44" s="3">
        <v>59.23</v>
      </c>
      <c r="D44" s="3">
        <v>47.96</v>
      </c>
      <c r="E44" s="3">
        <v>120.9</v>
      </c>
      <c r="F44" s="21">
        <f t="shared" si="3"/>
        <v>236.51999999999995</v>
      </c>
      <c r="G44">
        <f t="shared" si="0"/>
        <v>69.579599999999985</v>
      </c>
      <c r="H44">
        <f t="shared" si="1"/>
        <v>54.45239999999999</v>
      </c>
      <c r="I44">
        <f t="shared" ref="I44:I107" si="4">AVERAGE(D20:D44)</f>
        <v>-15.603200000000005</v>
      </c>
    </row>
    <row r="45" spans="1:9" x14ac:dyDescent="0.25">
      <c r="A45" s="20">
        <v>46104.370833333334</v>
      </c>
      <c r="B45" s="3">
        <v>0.61</v>
      </c>
      <c r="C45" s="3">
        <v>17.91</v>
      </c>
      <c r="D45" s="3">
        <v>-41.66</v>
      </c>
      <c r="E45" s="4">
        <v>272.3</v>
      </c>
      <c r="F45" s="21">
        <f t="shared" si="3"/>
        <v>243.196</v>
      </c>
      <c r="G45">
        <f t="shared" si="0"/>
        <v>59.397199999999984</v>
      </c>
      <c r="H45">
        <f t="shared" si="1"/>
        <v>49.055600000000005</v>
      </c>
      <c r="I45">
        <f t="shared" si="4"/>
        <v>-21.515200000000007</v>
      </c>
    </row>
    <row r="46" spans="1:9" x14ac:dyDescent="0.25">
      <c r="A46" s="20">
        <v>46104.412499999999</v>
      </c>
      <c r="B46" s="3">
        <v>-8.57</v>
      </c>
      <c r="C46" s="3">
        <v>13.05</v>
      </c>
      <c r="D46" s="3">
        <v>-324.73</v>
      </c>
      <c r="E46" s="3">
        <v>819.5</v>
      </c>
      <c r="F46" s="21">
        <f t="shared" si="3"/>
        <v>271.71199999999999</v>
      </c>
      <c r="G46">
        <f t="shared" si="0"/>
        <v>50.312799999999989</v>
      </c>
      <c r="H46">
        <f t="shared" si="1"/>
        <v>44.241199999999999</v>
      </c>
      <c r="I46">
        <f t="shared" si="4"/>
        <v>-38.071600000000018</v>
      </c>
    </row>
    <row r="47" spans="1:9" x14ac:dyDescent="0.25">
      <c r="A47" s="20">
        <v>46104.454166550924</v>
      </c>
      <c r="B47" s="3">
        <v>-6.51</v>
      </c>
      <c r="C47" s="3">
        <v>14.14</v>
      </c>
      <c r="D47" s="3">
        <v>-101.57</v>
      </c>
      <c r="E47" s="4">
        <v>521.29999999999995</v>
      </c>
      <c r="F47" s="21">
        <f t="shared" si="3"/>
        <v>288.09599999999995</v>
      </c>
      <c r="G47">
        <f t="shared" si="0"/>
        <v>44.589599999999997</v>
      </c>
      <c r="H47">
        <f t="shared" si="1"/>
        <v>41.209200000000003</v>
      </c>
      <c r="I47">
        <f t="shared" si="4"/>
        <v>-44.634799999999998</v>
      </c>
    </row>
    <row r="48" spans="1:9" x14ac:dyDescent="0.25">
      <c r="A48" s="20">
        <v>46104.495833159723</v>
      </c>
      <c r="B48" s="3">
        <v>-9.35</v>
      </c>
      <c r="C48" s="3">
        <v>12.64</v>
      </c>
      <c r="D48" s="3">
        <v>-578.05999999999995</v>
      </c>
      <c r="E48" s="4">
        <v>1081.9000000000001</v>
      </c>
      <c r="F48" s="21">
        <f t="shared" si="3"/>
        <v>324.11199999999997</v>
      </c>
      <c r="G48">
        <f t="shared" si="0"/>
        <v>43.668400000000013</v>
      </c>
      <c r="H48">
        <f t="shared" si="1"/>
        <v>40.721599999999995</v>
      </c>
      <c r="I48">
        <f t="shared" si="4"/>
        <v>-66.651600000000002</v>
      </c>
    </row>
    <row r="49" spans="1:9" x14ac:dyDescent="0.25">
      <c r="A49" s="20">
        <v>46104.537499768521</v>
      </c>
      <c r="B49" s="3">
        <v>-9.94</v>
      </c>
      <c r="C49" s="3">
        <v>12.33</v>
      </c>
      <c r="D49" s="3">
        <v>-894.07</v>
      </c>
      <c r="E49" s="4">
        <v>1452.8</v>
      </c>
      <c r="F49" s="21">
        <f t="shared" si="3"/>
        <v>368.72799999999995</v>
      </c>
      <c r="G49">
        <f t="shared" si="0"/>
        <v>43.378</v>
      </c>
      <c r="H49">
        <f t="shared" si="1"/>
        <v>40.567999999999998</v>
      </c>
      <c r="I49">
        <f t="shared" si="4"/>
        <v>-100.38200000000001</v>
      </c>
    </row>
    <row r="50" spans="1:9" x14ac:dyDescent="0.25">
      <c r="A50" s="20">
        <v>46104.579166377313</v>
      </c>
      <c r="B50" s="3">
        <v>-8.6</v>
      </c>
      <c r="C50" s="3">
        <v>13.03</v>
      </c>
      <c r="D50" s="3">
        <v>-367.21</v>
      </c>
      <c r="E50" s="4">
        <v>828.1</v>
      </c>
      <c r="F50" s="21">
        <f t="shared" si="3"/>
        <v>369.66399999999993</v>
      </c>
      <c r="G50">
        <f t="shared" si="0"/>
        <v>43.374399999999994</v>
      </c>
      <c r="H50">
        <f t="shared" si="1"/>
        <v>40.566000000000003</v>
      </c>
      <c r="I50">
        <f t="shared" si="4"/>
        <v>-101.8188</v>
      </c>
    </row>
    <row r="51" spans="1:9" x14ac:dyDescent="0.25">
      <c r="A51" s="7">
        <v>46104.620832986111</v>
      </c>
      <c r="B51" s="3">
        <v>11.02</v>
      </c>
      <c r="C51" s="3">
        <v>23.42</v>
      </c>
      <c r="D51" s="3">
        <v>-32.46</v>
      </c>
      <c r="E51" s="3">
        <v>191.4</v>
      </c>
      <c r="F51" s="21">
        <f t="shared" si="3"/>
        <v>331.56000000000006</v>
      </c>
      <c r="G51">
        <f t="shared" si="0"/>
        <v>44.194399999999995</v>
      </c>
      <c r="H51">
        <f t="shared" si="1"/>
        <v>40.999999999999993</v>
      </c>
      <c r="I51">
        <f t="shared" si="4"/>
        <v>-78.0792</v>
      </c>
    </row>
    <row r="52" spans="1:9" x14ac:dyDescent="0.25">
      <c r="A52" s="7">
        <v>46104.66249959491</v>
      </c>
      <c r="B52" s="3">
        <v>49.79</v>
      </c>
      <c r="C52" s="3">
        <v>43.96</v>
      </c>
      <c r="D52" s="3">
        <v>26.5</v>
      </c>
      <c r="E52" s="3">
        <v>132</v>
      </c>
      <c r="F52" s="21">
        <f t="shared" si="3"/>
        <v>313.21600000000001</v>
      </c>
      <c r="G52">
        <f t="shared" si="0"/>
        <v>46.474399999999996</v>
      </c>
      <c r="H52">
        <f t="shared" si="1"/>
        <v>42.207599999999992</v>
      </c>
      <c r="I52">
        <f t="shared" si="4"/>
        <v>-70.621600000000001</v>
      </c>
    </row>
    <row r="53" spans="1:9" x14ac:dyDescent="0.25">
      <c r="A53" s="7">
        <v>46104.704166203701</v>
      </c>
      <c r="B53" s="3">
        <v>81.09</v>
      </c>
      <c r="C53" s="3">
        <v>60.54</v>
      </c>
      <c r="D53" s="3">
        <v>38.520000000000003</v>
      </c>
      <c r="E53" s="3">
        <v>120.3</v>
      </c>
      <c r="F53" s="21">
        <f t="shared" si="3"/>
        <v>304.34399999999999</v>
      </c>
      <c r="G53">
        <f t="shared" si="0"/>
        <v>49.831999999999987</v>
      </c>
      <c r="H53">
        <f t="shared" si="1"/>
        <v>43.985999999999997</v>
      </c>
      <c r="I53">
        <f t="shared" si="4"/>
        <v>-66.95</v>
      </c>
    </row>
    <row r="54" spans="1:9" x14ac:dyDescent="0.25">
      <c r="A54" s="7">
        <v>46104.745832812499</v>
      </c>
      <c r="B54" s="3">
        <v>121.83</v>
      </c>
      <c r="C54" s="3">
        <v>82.13</v>
      </c>
      <c r="D54" s="3">
        <v>53.33</v>
      </c>
      <c r="E54" s="3">
        <v>113.3</v>
      </c>
      <c r="F54" s="21">
        <f t="shared" si="3"/>
        <v>299.56800000000004</v>
      </c>
      <c r="G54">
        <f t="shared" si="0"/>
        <v>54.539200000000001</v>
      </c>
      <c r="H54">
        <f t="shared" si="1"/>
        <v>46.479599999999991</v>
      </c>
      <c r="I54">
        <f t="shared" si="4"/>
        <v>-63.257600000000004</v>
      </c>
    </row>
    <row r="55" spans="1:9" x14ac:dyDescent="0.25">
      <c r="A55" s="7">
        <v>46104.787499421298</v>
      </c>
      <c r="B55" s="3">
        <v>67.22</v>
      </c>
      <c r="C55" s="3">
        <v>53.19</v>
      </c>
      <c r="D55" s="3">
        <v>39.86</v>
      </c>
      <c r="E55" s="3">
        <v>124.3</v>
      </c>
      <c r="F55" s="21">
        <f t="shared" si="3"/>
        <v>296.96800000000002</v>
      </c>
      <c r="G55">
        <f t="shared" si="0"/>
        <v>56.765999999999991</v>
      </c>
      <c r="H55">
        <f t="shared" si="1"/>
        <v>47.658799999999992</v>
      </c>
      <c r="I55">
        <f t="shared" si="4"/>
        <v>-60.474000000000004</v>
      </c>
    </row>
    <row r="56" spans="1:9" x14ac:dyDescent="0.25">
      <c r="A56" s="7">
        <v>46104.829166030089</v>
      </c>
      <c r="B56" s="3">
        <v>46.68</v>
      </c>
      <c r="C56" s="3">
        <v>42.32</v>
      </c>
      <c r="D56" s="3">
        <v>31.82</v>
      </c>
      <c r="E56" s="3">
        <v>133.80000000000001</v>
      </c>
      <c r="F56" s="21">
        <f t="shared" si="3"/>
        <v>296.41200000000003</v>
      </c>
      <c r="G56">
        <f t="shared" si="0"/>
        <v>57.4084</v>
      </c>
      <c r="H56">
        <f t="shared" si="1"/>
        <v>47.999600000000001</v>
      </c>
      <c r="I56">
        <f t="shared" si="4"/>
        <v>-60.054800000000014</v>
      </c>
    </row>
    <row r="57" spans="1:9" x14ac:dyDescent="0.25">
      <c r="A57" s="7">
        <v>46104.870832638888</v>
      </c>
      <c r="B57" s="3">
        <v>35.93</v>
      </c>
      <c r="C57" s="3">
        <v>36.619999999999997</v>
      </c>
      <c r="D57" s="3">
        <v>26.25</v>
      </c>
      <c r="E57" s="3">
        <v>142.1</v>
      </c>
      <c r="F57" s="21">
        <f t="shared" si="3"/>
        <v>296.37200000000007</v>
      </c>
      <c r="G57">
        <f t="shared" si="0"/>
        <v>57.451600000000006</v>
      </c>
      <c r="H57">
        <f t="shared" si="1"/>
        <v>48.02239999999999</v>
      </c>
      <c r="I57">
        <f t="shared" si="4"/>
        <v>-59.983600000000003</v>
      </c>
    </row>
    <row r="58" spans="1:9" x14ac:dyDescent="0.25">
      <c r="A58" s="7">
        <v>46104.912499247686</v>
      </c>
      <c r="B58" s="3">
        <v>198.81</v>
      </c>
      <c r="C58" s="3">
        <v>122.94</v>
      </c>
      <c r="D58" s="3">
        <v>89.13</v>
      </c>
      <c r="E58" s="3">
        <v>107.5</v>
      </c>
      <c r="F58" s="21">
        <f t="shared" si="3"/>
        <v>295.26400000000007</v>
      </c>
      <c r="G58">
        <f t="shared" si="0"/>
        <v>63.622799999999998</v>
      </c>
      <c r="H58">
        <f t="shared" si="1"/>
        <v>51.293199999999985</v>
      </c>
      <c r="I58">
        <f t="shared" si="4"/>
        <v>-57.64800000000001</v>
      </c>
    </row>
    <row r="59" spans="1:9" x14ac:dyDescent="0.25">
      <c r="A59" s="7">
        <v>46104.954165856485</v>
      </c>
      <c r="B59" s="3">
        <v>32.67</v>
      </c>
      <c r="C59" s="3">
        <v>34.89</v>
      </c>
      <c r="D59" s="3">
        <v>25.1</v>
      </c>
      <c r="E59" s="3">
        <v>145.4</v>
      </c>
      <c r="F59" s="21">
        <f t="shared" si="3"/>
        <v>295.584</v>
      </c>
      <c r="G59">
        <f t="shared" si="0"/>
        <v>63.271599999999999</v>
      </c>
      <c r="H59">
        <f t="shared" si="1"/>
        <v>51.107199999999992</v>
      </c>
      <c r="I59">
        <f t="shared" si="4"/>
        <v>-57.836800000000018</v>
      </c>
    </row>
    <row r="60" spans="1:9" x14ac:dyDescent="0.25">
      <c r="A60" s="7">
        <v>46104.995832465276</v>
      </c>
      <c r="B60" s="3">
        <v>73.349999999999994</v>
      </c>
      <c r="C60" s="3">
        <v>56.44</v>
      </c>
      <c r="D60" s="3">
        <v>47.15</v>
      </c>
      <c r="E60" s="3">
        <v>122.4</v>
      </c>
      <c r="F60" s="21">
        <f t="shared" si="3"/>
        <v>296.12</v>
      </c>
      <c r="G60">
        <f t="shared" ref="G60:G91" si="5">AVERAGE(B36:B60)</f>
        <v>59.343999999999994</v>
      </c>
      <c r="H60">
        <f t="shared" ref="H60:H91" si="6">AVERAGE(C36:C60)</f>
        <v>49.025600000000004</v>
      </c>
      <c r="I60">
        <f t="shared" si="4"/>
        <v>-59.236000000000004</v>
      </c>
    </row>
    <row r="61" spans="1:9" x14ac:dyDescent="0.25">
      <c r="A61" s="7">
        <v>46105.037499999999</v>
      </c>
      <c r="B61" s="3">
        <v>201.11</v>
      </c>
      <c r="C61" s="3">
        <v>124.16</v>
      </c>
      <c r="D61" s="3">
        <v>94.47</v>
      </c>
      <c r="E61" s="3">
        <v>107.4</v>
      </c>
      <c r="F61" s="21">
        <f t="shared" si="3"/>
        <v>295.32399999999996</v>
      </c>
      <c r="G61">
        <f t="shared" si="5"/>
        <v>65.006799999999998</v>
      </c>
      <c r="H61">
        <f t="shared" si="6"/>
        <v>52.028800000000011</v>
      </c>
      <c r="I61">
        <f t="shared" si="4"/>
        <v>-57.070000000000007</v>
      </c>
    </row>
    <row r="62" spans="1:9" x14ac:dyDescent="0.25">
      <c r="A62" s="7">
        <v>46105.07916666667</v>
      </c>
      <c r="B62" s="3">
        <v>58.51</v>
      </c>
      <c r="C62" s="3">
        <v>48.58</v>
      </c>
      <c r="D62" s="3">
        <v>40.1</v>
      </c>
      <c r="E62" s="3">
        <v>127.7</v>
      </c>
      <c r="F62" s="21">
        <f t="shared" si="3"/>
        <v>295.06</v>
      </c>
      <c r="G62">
        <f t="shared" si="5"/>
        <v>65.507599999999996</v>
      </c>
      <c r="H62">
        <f t="shared" si="6"/>
        <v>52.294000000000004</v>
      </c>
      <c r="I62">
        <f t="shared" si="4"/>
        <v>-56.801200000000016</v>
      </c>
    </row>
    <row r="63" spans="1:9" x14ac:dyDescent="0.25">
      <c r="A63" s="7">
        <v>46105.120833391207</v>
      </c>
      <c r="B63" s="3">
        <v>72.59</v>
      </c>
      <c r="C63" s="3">
        <v>56.04</v>
      </c>
      <c r="D63" s="3">
        <v>46.96</v>
      </c>
      <c r="E63" s="3">
        <v>122.6</v>
      </c>
      <c r="F63" s="21">
        <f t="shared" si="3"/>
        <v>295.22800000000001</v>
      </c>
      <c r="G63">
        <f t="shared" si="5"/>
        <v>64.829999999999984</v>
      </c>
      <c r="H63">
        <f t="shared" si="6"/>
        <v>51.934799999999996</v>
      </c>
      <c r="I63">
        <f t="shared" si="4"/>
        <v>-57.114800000000002</v>
      </c>
    </row>
    <row r="64" spans="1:9" x14ac:dyDescent="0.25">
      <c r="A64" s="7">
        <v>46105.162500115737</v>
      </c>
      <c r="B64" s="3">
        <v>118.4</v>
      </c>
      <c r="C64" s="3">
        <v>80.31</v>
      </c>
      <c r="D64" s="3">
        <v>66</v>
      </c>
      <c r="E64" s="3">
        <v>113.7</v>
      </c>
      <c r="F64" s="21">
        <f t="shared" si="3"/>
        <v>294.56799999999998</v>
      </c>
      <c r="G64">
        <f t="shared" si="5"/>
        <v>67.443599999999989</v>
      </c>
      <c r="H64">
        <f t="shared" si="6"/>
        <v>53.319600000000001</v>
      </c>
      <c r="I64">
        <f t="shared" si="4"/>
        <v>-55.97760000000001</v>
      </c>
    </row>
    <row r="65" spans="1:9" x14ac:dyDescent="0.25">
      <c r="A65" s="7">
        <v>46105.204166840274</v>
      </c>
      <c r="B65" s="3">
        <v>86.11</v>
      </c>
      <c r="C65" s="3">
        <v>63.2</v>
      </c>
      <c r="D65" s="3">
        <v>53.19</v>
      </c>
      <c r="E65" s="3">
        <v>119.1</v>
      </c>
      <c r="F65" s="21">
        <f t="shared" si="3"/>
        <v>294.428</v>
      </c>
      <c r="G65">
        <f t="shared" si="5"/>
        <v>67.98599999999999</v>
      </c>
      <c r="H65">
        <f t="shared" si="6"/>
        <v>53.606799999999993</v>
      </c>
      <c r="I65">
        <f t="shared" si="4"/>
        <v>-55.752400000000009</v>
      </c>
    </row>
    <row r="66" spans="1:9" x14ac:dyDescent="0.25">
      <c r="A66" s="7">
        <v>46105.245833564812</v>
      </c>
      <c r="B66" s="3">
        <v>54.62</v>
      </c>
      <c r="C66" s="3">
        <v>46.52</v>
      </c>
      <c r="D66" s="3">
        <v>38.32</v>
      </c>
      <c r="E66" s="3">
        <v>129.5</v>
      </c>
      <c r="F66" s="21">
        <f t="shared" si="3"/>
        <v>294.79600000000005</v>
      </c>
      <c r="G66">
        <f t="shared" si="5"/>
        <v>66.923999999999992</v>
      </c>
      <c r="H66">
        <f t="shared" si="6"/>
        <v>53.044399999999996</v>
      </c>
      <c r="I66">
        <f t="shared" si="4"/>
        <v>-56.291200000000011</v>
      </c>
    </row>
    <row r="67" spans="1:9" x14ac:dyDescent="0.25">
      <c r="A67" s="7">
        <v>46105.287500289349</v>
      </c>
      <c r="B67" s="3">
        <v>145.24</v>
      </c>
      <c r="C67" s="3">
        <v>94.54</v>
      </c>
      <c r="D67" s="3">
        <v>76.88</v>
      </c>
      <c r="E67" s="3">
        <v>111</v>
      </c>
      <c r="F67" s="21">
        <f t="shared" si="3"/>
        <v>294.94800000000004</v>
      </c>
      <c r="G67">
        <f t="shared" si="5"/>
        <v>64.499999999999986</v>
      </c>
      <c r="H67">
        <f t="shared" si="6"/>
        <v>51.758399999999995</v>
      </c>
      <c r="I67">
        <f t="shared" si="4"/>
        <v>-57.199600000000011</v>
      </c>
    </row>
    <row r="68" spans="1:9" x14ac:dyDescent="0.25">
      <c r="A68" s="7">
        <v>46105.329861111109</v>
      </c>
      <c r="B68" s="3">
        <v>81.53</v>
      </c>
      <c r="C68" s="3">
        <v>60.78</v>
      </c>
      <c r="D68" s="3">
        <v>49.29</v>
      </c>
      <c r="E68" s="3">
        <v>120.2</v>
      </c>
      <c r="F68" s="21">
        <f t="shared" si="3"/>
        <v>295.22000000000003</v>
      </c>
      <c r="G68">
        <f t="shared" si="5"/>
        <v>62.910400000000003</v>
      </c>
      <c r="H68">
        <f t="shared" si="6"/>
        <v>50.916399999999996</v>
      </c>
      <c r="I68">
        <f t="shared" si="4"/>
        <v>-57.957199999999993</v>
      </c>
    </row>
    <row r="69" spans="1:9" x14ac:dyDescent="0.25">
      <c r="A69" s="7">
        <v>46105.371527777781</v>
      </c>
      <c r="B69" s="3">
        <v>58.37</v>
      </c>
      <c r="C69" s="3">
        <v>48.51</v>
      </c>
      <c r="D69" s="3">
        <v>36.51</v>
      </c>
      <c r="E69" s="3">
        <v>127.7</v>
      </c>
      <c r="F69" s="21">
        <f t="shared" si="3"/>
        <v>295.49200000000002</v>
      </c>
      <c r="G69">
        <f t="shared" si="5"/>
        <v>62.100399999999993</v>
      </c>
      <c r="H69">
        <f t="shared" si="6"/>
        <v>50.487599999999993</v>
      </c>
      <c r="I69">
        <f t="shared" si="4"/>
        <v>-58.415199999999999</v>
      </c>
    </row>
    <row r="70" spans="1:9" x14ac:dyDescent="0.25">
      <c r="A70" s="7">
        <v>46105.413194502318</v>
      </c>
      <c r="B70" s="3">
        <v>14.49</v>
      </c>
      <c r="C70" s="3">
        <v>25.26</v>
      </c>
      <c r="D70" s="3">
        <v>-27.38</v>
      </c>
      <c r="E70" s="3">
        <v>178.9</v>
      </c>
      <c r="F70" s="21">
        <f t="shared" si="3"/>
        <v>291.75599999999997</v>
      </c>
      <c r="G70">
        <f t="shared" si="5"/>
        <v>62.655599999999993</v>
      </c>
      <c r="H70">
        <f t="shared" si="6"/>
        <v>50.78159999999999</v>
      </c>
      <c r="I70">
        <f t="shared" si="4"/>
        <v>-57.843999999999987</v>
      </c>
    </row>
    <row r="71" spans="1:9" x14ac:dyDescent="0.25">
      <c r="A71" s="20">
        <v>46105.454861226855</v>
      </c>
      <c r="B71" s="3">
        <v>-1.52</v>
      </c>
      <c r="C71" s="3">
        <v>16.78</v>
      </c>
      <c r="D71" s="3">
        <v>-47.95</v>
      </c>
      <c r="E71" s="4">
        <v>309.5</v>
      </c>
      <c r="F71" s="21">
        <f t="shared" si="3"/>
        <v>271.35599999999999</v>
      </c>
      <c r="G71">
        <f t="shared" si="5"/>
        <v>62.937599999999996</v>
      </c>
      <c r="H71">
        <f t="shared" si="6"/>
        <v>50.930799999999991</v>
      </c>
      <c r="I71">
        <f t="shared" si="4"/>
        <v>-46.772800000000004</v>
      </c>
    </row>
    <row r="72" spans="1:9" x14ac:dyDescent="0.25">
      <c r="A72" s="20">
        <v>46105.495833912035</v>
      </c>
      <c r="B72" s="3">
        <v>-4.45</v>
      </c>
      <c r="C72" s="3">
        <v>15.24</v>
      </c>
      <c r="D72" s="3">
        <v>-57.76</v>
      </c>
      <c r="E72" s="4">
        <v>397.5</v>
      </c>
      <c r="F72" s="21">
        <f t="shared" si="3"/>
        <v>266.404</v>
      </c>
      <c r="G72">
        <f t="shared" si="5"/>
        <v>63.019999999999989</v>
      </c>
      <c r="H72">
        <f t="shared" si="6"/>
        <v>50.974799999999995</v>
      </c>
      <c r="I72">
        <f t="shared" si="4"/>
        <v>-45.020400000000009</v>
      </c>
    </row>
    <row r="73" spans="1:9" x14ac:dyDescent="0.25">
      <c r="A73" s="20">
        <v>46105.537500636572</v>
      </c>
      <c r="B73" s="3">
        <v>0.81</v>
      </c>
      <c r="C73" s="3">
        <v>18.02</v>
      </c>
      <c r="D73" s="3">
        <v>-44.43</v>
      </c>
      <c r="E73" s="4">
        <v>268.39999999999998</v>
      </c>
      <c r="F73" s="21">
        <f t="shared" si="3"/>
        <v>233.86399999999998</v>
      </c>
      <c r="G73">
        <f t="shared" si="5"/>
        <v>63.426399999999987</v>
      </c>
      <c r="H73">
        <f t="shared" si="6"/>
        <v>51.189999999999991</v>
      </c>
      <c r="I73">
        <f t="shared" si="4"/>
        <v>-23.6752</v>
      </c>
    </row>
    <row r="74" spans="1:9" x14ac:dyDescent="0.25">
      <c r="A74" s="7">
        <v>46105.579167361109</v>
      </c>
      <c r="B74" s="3">
        <v>84.55</v>
      </c>
      <c r="C74" s="3">
        <v>62.38</v>
      </c>
      <c r="D74" s="3">
        <v>37.770000000000003</v>
      </c>
      <c r="E74" s="3">
        <v>119.5</v>
      </c>
      <c r="F74" s="21">
        <f t="shared" si="3"/>
        <v>180.53199999999998</v>
      </c>
      <c r="G74">
        <f t="shared" si="5"/>
        <v>67.205999999999989</v>
      </c>
      <c r="H74">
        <f t="shared" si="6"/>
        <v>53.192</v>
      </c>
      <c r="I74">
        <f t="shared" si="4"/>
        <v>13.598400000000002</v>
      </c>
    </row>
    <row r="75" spans="1:9" x14ac:dyDescent="0.25">
      <c r="A75" s="7">
        <v>46105.620834085646</v>
      </c>
      <c r="B75" s="3">
        <v>90.91</v>
      </c>
      <c r="C75" s="3">
        <v>65.75</v>
      </c>
      <c r="D75" s="3">
        <v>39.61</v>
      </c>
      <c r="E75" s="3">
        <v>118.1</v>
      </c>
      <c r="F75" s="21">
        <f t="shared" si="3"/>
        <v>152.13199999999998</v>
      </c>
      <c r="G75">
        <f t="shared" si="5"/>
        <v>71.186399999999992</v>
      </c>
      <c r="H75">
        <f t="shared" si="6"/>
        <v>55.300800000000002</v>
      </c>
      <c r="I75">
        <f t="shared" si="4"/>
        <v>29.871200000000002</v>
      </c>
    </row>
    <row r="76" spans="1:9" x14ac:dyDescent="0.25">
      <c r="A76" s="7">
        <v>46105.662500810184</v>
      </c>
      <c r="B76" s="3">
        <v>87.57</v>
      </c>
      <c r="C76" s="3">
        <v>65.040000000000006</v>
      </c>
      <c r="D76" s="3">
        <v>40.54</v>
      </c>
      <c r="E76" s="3">
        <v>118.4</v>
      </c>
      <c r="F76" s="21">
        <f t="shared" si="3"/>
        <v>149.21200000000002</v>
      </c>
      <c r="G76">
        <f t="shared" si="5"/>
        <v>74.24839999999999</v>
      </c>
      <c r="H76">
        <f t="shared" si="6"/>
        <v>56.965599999999995</v>
      </c>
      <c r="I76">
        <f t="shared" si="4"/>
        <v>32.791200000000003</v>
      </c>
    </row>
    <row r="77" spans="1:9" x14ac:dyDescent="0.25">
      <c r="A77" s="7">
        <v>46105.704167476855</v>
      </c>
      <c r="B77" s="10">
        <v>36.909999999999997</v>
      </c>
      <c r="C77" s="10">
        <v>37.14</v>
      </c>
      <c r="D77" s="10">
        <v>22.76</v>
      </c>
      <c r="E77" s="10">
        <v>141.19999999999999</v>
      </c>
      <c r="F77" s="21">
        <f t="shared" si="3"/>
        <v>149.58000000000001</v>
      </c>
      <c r="G77">
        <f t="shared" si="5"/>
        <v>73.733199999999982</v>
      </c>
      <c r="H77">
        <f t="shared" si="6"/>
        <v>56.692799999999998</v>
      </c>
      <c r="I77">
        <f t="shared" si="4"/>
        <v>32.641600000000004</v>
      </c>
    </row>
    <row r="78" spans="1:9" x14ac:dyDescent="0.25">
      <c r="A78" s="7">
        <v>46105.745834201392</v>
      </c>
      <c r="B78" s="10">
        <v>61.07</v>
      </c>
      <c r="C78" s="10">
        <v>49.94</v>
      </c>
      <c r="D78" s="10">
        <v>36.51</v>
      </c>
      <c r="E78" s="10">
        <v>126.6</v>
      </c>
      <c r="F78" s="21">
        <f t="shared" si="3"/>
        <v>149.83199999999999</v>
      </c>
      <c r="G78">
        <f t="shared" si="5"/>
        <v>72.932399999999987</v>
      </c>
      <c r="H78">
        <f t="shared" si="6"/>
        <v>56.268799999999999</v>
      </c>
      <c r="I78">
        <f t="shared" si="4"/>
        <v>32.561200000000007</v>
      </c>
    </row>
    <row r="79" spans="1:9" x14ac:dyDescent="0.25">
      <c r="A79" s="7">
        <v>46105.788194444445</v>
      </c>
      <c r="B79" s="10">
        <v>28.85</v>
      </c>
      <c r="C79" s="10">
        <v>32.840000000000003</v>
      </c>
      <c r="D79" s="10">
        <v>21.69</v>
      </c>
      <c r="E79" s="10">
        <v>149.9</v>
      </c>
      <c r="F79" s="21">
        <f t="shared" si="3"/>
        <v>151.29599999999999</v>
      </c>
      <c r="G79">
        <f t="shared" si="5"/>
        <v>69.213199999999986</v>
      </c>
      <c r="H79">
        <f t="shared" si="6"/>
        <v>54.297200000000004</v>
      </c>
      <c r="I79">
        <f t="shared" si="4"/>
        <v>31.2956</v>
      </c>
    </row>
    <row r="80" spans="1:9" x14ac:dyDescent="0.25">
      <c r="A80" s="7">
        <v>46105.829861111109</v>
      </c>
      <c r="B80" s="10">
        <v>92.61</v>
      </c>
      <c r="C80" s="10">
        <v>66.650000000000006</v>
      </c>
      <c r="D80" s="10">
        <v>54.61</v>
      </c>
      <c r="E80" s="10">
        <v>117.8</v>
      </c>
      <c r="F80" s="21">
        <f t="shared" si="3"/>
        <v>151.036</v>
      </c>
      <c r="G80">
        <f t="shared" si="5"/>
        <v>70.228799999999978</v>
      </c>
      <c r="H80">
        <f t="shared" si="6"/>
        <v>54.835600000000007</v>
      </c>
      <c r="I80">
        <f t="shared" si="4"/>
        <v>31.8856</v>
      </c>
    </row>
    <row r="81" spans="1:9" x14ac:dyDescent="0.25">
      <c r="A81" s="7">
        <v>46105.871527662035</v>
      </c>
      <c r="B81" s="10">
        <v>83.72</v>
      </c>
      <c r="C81" s="10">
        <v>61.64</v>
      </c>
      <c r="D81" s="10">
        <v>50.31</v>
      </c>
      <c r="E81" s="10">
        <v>119.7</v>
      </c>
      <c r="F81" s="21">
        <f t="shared" si="3"/>
        <v>150.47200000000001</v>
      </c>
      <c r="G81">
        <f t="shared" si="5"/>
        <v>71.710399999999993</v>
      </c>
      <c r="H81">
        <f t="shared" si="6"/>
        <v>55.60840000000001</v>
      </c>
      <c r="I81">
        <f t="shared" si="4"/>
        <v>32.625200000000007</v>
      </c>
    </row>
    <row r="82" spans="1:9" x14ac:dyDescent="0.25">
      <c r="A82" s="7">
        <v>46105.913194270834</v>
      </c>
      <c r="B82" s="10">
        <v>78.83</v>
      </c>
      <c r="C82" s="10">
        <v>59.34</v>
      </c>
      <c r="D82" s="10">
        <v>48.62</v>
      </c>
      <c r="E82" s="10">
        <v>120.9</v>
      </c>
      <c r="F82" s="21">
        <f t="shared" si="3"/>
        <v>149.62400000000002</v>
      </c>
      <c r="G82">
        <f t="shared" si="5"/>
        <v>73.426399999999987</v>
      </c>
      <c r="H82">
        <f t="shared" si="6"/>
        <v>56.517199999999995</v>
      </c>
      <c r="I82">
        <f t="shared" si="4"/>
        <v>33.519999999999996</v>
      </c>
    </row>
    <row r="83" spans="1:9" x14ac:dyDescent="0.25">
      <c r="A83" s="7">
        <v>46105.954860879632</v>
      </c>
      <c r="B83" s="10">
        <v>121.23</v>
      </c>
      <c r="C83" s="10">
        <v>81.81</v>
      </c>
      <c r="D83" s="10">
        <v>64.84</v>
      </c>
      <c r="E83" s="10">
        <v>113.4</v>
      </c>
      <c r="F83" s="21">
        <f t="shared" si="3"/>
        <v>149.86000000000001</v>
      </c>
      <c r="G83">
        <f t="shared" si="5"/>
        <v>70.323199999999986</v>
      </c>
      <c r="H83">
        <f t="shared" si="6"/>
        <v>54.871999999999986</v>
      </c>
      <c r="I83">
        <f t="shared" si="4"/>
        <v>32.548400000000001</v>
      </c>
    </row>
    <row r="84" spans="1:9" x14ac:dyDescent="0.25">
      <c r="A84" s="7">
        <v>46105.996527488423</v>
      </c>
      <c r="B84" s="10">
        <v>102.47</v>
      </c>
      <c r="C84" s="10">
        <v>71.87</v>
      </c>
      <c r="D84" s="10">
        <v>58.47</v>
      </c>
      <c r="E84" s="10">
        <v>116</v>
      </c>
      <c r="F84" s="21">
        <f t="shared" si="3"/>
        <v>148.68400000000003</v>
      </c>
      <c r="G84">
        <f t="shared" si="5"/>
        <v>73.115200000000002</v>
      </c>
      <c r="H84">
        <f t="shared" si="6"/>
        <v>56.351199999999992</v>
      </c>
      <c r="I84">
        <f t="shared" si="4"/>
        <v>33.883200000000009</v>
      </c>
    </row>
    <row r="85" spans="1:9" x14ac:dyDescent="0.25">
      <c r="A85" s="7">
        <v>46106.038194097222</v>
      </c>
      <c r="B85" s="10">
        <v>48.71</v>
      </c>
      <c r="C85" s="10">
        <v>43.39</v>
      </c>
      <c r="D85" s="10">
        <v>34.46</v>
      </c>
      <c r="E85" s="10">
        <v>132.6</v>
      </c>
      <c r="F85" s="21">
        <f t="shared" si="3"/>
        <v>149.09200000000001</v>
      </c>
      <c r="G85">
        <f t="shared" si="5"/>
        <v>72.129599999999996</v>
      </c>
      <c r="H85">
        <f t="shared" si="6"/>
        <v>55.829199999999993</v>
      </c>
      <c r="I85">
        <f t="shared" si="4"/>
        <v>33.375600000000006</v>
      </c>
    </row>
    <row r="86" spans="1:9" x14ac:dyDescent="0.25">
      <c r="A86" s="7">
        <v>46106.079860706021</v>
      </c>
      <c r="B86" s="10">
        <v>127.31</v>
      </c>
      <c r="C86" s="10">
        <v>85.04</v>
      </c>
      <c r="D86" s="10">
        <v>68.13</v>
      </c>
      <c r="E86" s="10">
        <v>112.7</v>
      </c>
      <c r="F86" s="21">
        <f t="shared" si="3"/>
        <v>149.304</v>
      </c>
      <c r="G86">
        <f t="shared" si="5"/>
        <v>69.177599999999984</v>
      </c>
      <c r="H86">
        <f t="shared" si="6"/>
        <v>54.264399999999995</v>
      </c>
      <c r="I86">
        <f t="shared" si="4"/>
        <v>32.322000000000003</v>
      </c>
    </row>
    <row r="87" spans="1:9" x14ac:dyDescent="0.25">
      <c r="A87" s="7">
        <v>46106.121527314812</v>
      </c>
      <c r="B87" s="10">
        <v>79.92</v>
      </c>
      <c r="C87" s="10">
        <v>59.92</v>
      </c>
      <c r="D87" s="10">
        <v>48.55</v>
      </c>
      <c r="E87" s="10">
        <v>120.6</v>
      </c>
      <c r="F87" s="21">
        <f t="shared" si="3"/>
        <v>149.01999999999998</v>
      </c>
      <c r="G87">
        <f t="shared" si="5"/>
        <v>70.033999999999992</v>
      </c>
      <c r="H87">
        <f t="shared" si="6"/>
        <v>54.718000000000004</v>
      </c>
      <c r="I87">
        <f t="shared" si="4"/>
        <v>32.660000000000004</v>
      </c>
    </row>
    <row r="88" spans="1:9" x14ac:dyDescent="0.25">
      <c r="A88" s="7">
        <v>46106.16319392361</v>
      </c>
      <c r="B88" s="10">
        <v>81.59</v>
      </c>
      <c r="C88" s="10">
        <v>60.81</v>
      </c>
      <c r="D88" s="10">
        <v>49.27</v>
      </c>
      <c r="E88" s="10">
        <v>120.2</v>
      </c>
      <c r="F88" s="21">
        <f t="shared" si="3"/>
        <v>148.92399999999998</v>
      </c>
      <c r="G88">
        <f t="shared" si="5"/>
        <v>70.393999999999991</v>
      </c>
      <c r="H88">
        <f t="shared" si="6"/>
        <v>54.908799999999999</v>
      </c>
      <c r="I88">
        <f t="shared" si="4"/>
        <v>32.752400000000002</v>
      </c>
    </row>
    <row r="89" spans="1:9" x14ac:dyDescent="0.25">
      <c r="A89" s="7">
        <v>46106.20416666667</v>
      </c>
      <c r="B89" s="10">
        <v>80.69</v>
      </c>
      <c r="C89" s="10">
        <v>60.33</v>
      </c>
      <c r="D89" s="10">
        <v>48.25</v>
      </c>
      <c r="E89" s="10">
        <v>120.4</v>
      </c>
      <c r="F89" s="21">
        <f t="shared" si="3"/>
        <v>149.19199999999998</v>
      </c>
      <c r="G89">
        <f t="shared" si="5"/>
        <v>68.885600000000011</v>
      </c>
      <c r="H89">
        <f t="shared" si="6"/>
        <v>54.1096</v>
      </c>
      <c r="I89">
        <f t="shared" si="4"/>
        <v>32.042400000000001</v>
      </c>
    </row>
    <row r="90" spans="1:9" x14ac:dyDescent="0.25">
      <c r="A90" s="7">
        <v>46106.245833333334</v>
      </c>
      <c r="B90" s="10">
        <v>55.01</v>
      </c>
      <c r="C90" s="10">
        <v>46.72</v>
      </c>
      <c r="D90" s="10">
        <v>37.32</v>
      </c>
      <c r="E90" s="10">
        <v>129.30000000000001</v>
      </c>
      <c r="F90" s="21">
        <f t="shared" si="3"/>
        <v>149.6</v>
      </c>
      <c r="G90">
        <f t="shared" si="5"/>
        <v>67.641600000000011</v>
      </c>
      <c r="H90">
        <f t="shared" si="6"/>
        <v>53.450399999999988</v>
      </c>
      <c r="I90">
        <f t="shared" si="4"/>
        <v>31.407600000000002</v>
      </c>
    </row>
    <row r="91" spans="1:9" x14ac:dyDescent="0.25">
      <c r="A91" s="7">
        <v>46106.287499999999</v>
      </c>
      <c r="B91" s="10">
        <v>119.65</v>
      </c>
      <c r="C91" s="10">
        <v>80.98</v>
      </c>
      <c r="D91" s="10">
        <v>65.12</v>
      </c>
      <c r="E91" s="10">
        <v>113.6</v>
      </c>
      <c r="F91" s="21">
        <f t="shared" si="3"/>
        <v>148.964</v>
      </c>
      <c r="G91">
        <f t="shared" si="5"/>
        <v>70.242800000000003</v>
      </c>
      <c r="H91">
        <f t="shared" si="6"/>
        <v>54.828799999999994</v>
      </c>
      <c r="I91">
        <f t="shared" si="4"/>
        <v>32.479599999999998</v>
      </c>
    </row>
    <row r="92" spans="1:9" x14ac:dyDescent="0.25">
      <c r="A92" s="7">
        <v>46106.329861111109</v>
      </c>
      <c r="B92" s="10">
        <v>34.46</v>
      </c>
      <c r="C92" s="10">
        <v>35.840000000000003</v>
      </c>
      <c r="D92" s="10">
        <v>25.5</v>
      </c>
      <c r="E92" s="10">
        <v>143.5</v>
      </c>
      <c r="F92" s="21">
        <f t="shared" si="3"/>
        <v>150.26399999999998</v>
      </c>
      <c r="G92">
        <f t="shared" ref="G92:G109" si="7">AVERAGE(B68:B92)</f>
        <v>65.811600000000013</v>
      </c>
      <c r="H92">
        <f t="shared" ref="H92:I109" si="8">AVERAGE(C68:C92)</f>
        <v>52.480800000000002</v>
      </c>
      <c r="I92">
        <f t="shared" si="4"/>
        <v>30.424400000000002</v>
      </c>
    </row>
    <row r="93" spans="1:9" x14ac:dyDescent="0.25">
      <c r="A93" s="20">
        <v>46106.371527777781</v>
      </c>
      <c r="B93" s="10">
        <v>-6.26</v>
      </c>
      <c r="C93" s="10">
        <v>14.28</v>
      </c>
      <c r="D93" s="10">
        <v>69.38</v>
      </c>
      <c r="E93" s="15">
        <v>501.2</v>
      </c>
      <c r="F93" s="21">
        <f t="shared" ref="F93:F99" si="9">AVERAGE(E69:E93)</f>
        <v>165.50399999999999</v>
      </c>
      <c r="G93">
        <f t="shared" si="7"/>
        <v>62.300000000000011</v>
      </c>
      <c r="H93">
        <f t="shared" si="8"/>
        <v>50.620799999999988</v>
      </c>
      <c r="I93">
        <f t="shared" si="4"/>
        <v>31.228000000000002</v>
      </c>
    </row>
    <row r="94" spans="1:9" x14ac:dyDescent="0.25">
      <c r="A94" s="20">
        <v>46106.413194502318</v>
      </c>
      <c r="B94" s="10">
        <v>-6.78</v>
      </c>
      <c r="C94" s="10">
        <v>14</v>
      </c>
      <c r="D94" s="10">
        <v>-92.56</v>
      </c>
      <c r="E94" s="15">
        <v>546</v>
      </c>
      <c r="F94" s="21">
        <f t="shared" si="9"/>
        <v>182.23599999999999</v>
      </c>
      <c r="G94">
        <f t="shared" si="7"/>
        <v>59.694000000000017</v>
      </c>
      <c r="H94">
        <f t="shared" si="8"/>
        <v>49.240399999999994</v>
      </c>
      <c r="I94">
        <f t="shared" si="4"/>
        <v>26.065200000000004</v>
      </c>
    </row>
    <row r="95" spans="1:9" x14ac:dyDescent="0.25">
      <c r="A95" s="7">
        <v>46106.454861226855</v>
      </c>
      <c r="B95" s="10">
        <v>3.96</v>
      </c>
      <c r="C95" s="10">
        <v>19.690000000000001</v>
      </c>
      <c r="D95" s="10">
        <v>-35.380000000000003</v>
      </c>
      <c r="E95" s="10">
        <v>234.3</v>
      </c>
      <c r="F95" s="21">
        <f t="shared" si="9"/>
        <v>184.452</v>
      </c>
      <c r="G95">
        <f t="shared" si="7"/>
        <v>59.272800000000018</v>
      </c>
      <c r="H95">
        <f t="shared" si="8"/>
        <v>49.017599999999995</v>
      </c>
      <c r="I95">
        <f t="shared" si="4"/>
        <v>25.745200000000001</v>
      </c>
    </row>
    <row r="96" spans="1:9" x14ac:dyDescent="0.25">
      <c r="A96" s="7">
        <v>46106.496527951385</v>
      </c>
      <c r="B96" s="10">
        <v>0.95</v>
      </c>
      <c r="C96" s="10">
        <v>18.100000000000001</v>
      </c>
      <c r="D96" s="10">
        <v>-40.17</v>
      </c>
      <c r="E96" s="10">
        <v>267.39999999999998</v>
      </c>
      <c r="F96" s="21">
        <f t="shared" si="9"/>
        <v>182.76799999999994</v>
      </c>
      <c r="G96">
        <f t="shared" si="7"/>
        <v>59.371600000000015</v>
      </c>
      <c r="H96">
        <f t="shared" si="8"/>
        <v>49.070399999999992</v>
      </c>
      <c r="I96">
        <f t="shared" si="4"/>
        <v>26.056400000000004</v>
      </c>
    </row>
    <row r="97" spans="1:9" x14ac:dyDescent="0.25">
      <c r="A97" s="7">
        <v>46106.538194675923</v>
      </c>
      <c r="B97" s="10">
        <v>13.74</v>
      </c>
      <c r="C97" s="10">
        <v>24.87</v>
      </c>
      <c r="D97" s="10">
        <v>-26.55</v>
      </c>
      <c r="E97" s="10">
        <v>181.3</v>
      </c>
      <c r="F97" s="21">
        <f t="shared" si="9"/>
        <v>174.12</v>
      </c>
      <c r="G97">
        <f t="shared" si="7"/>
        <v>60.099200000000017</v>
      </c>
      <c r="H97">
        <f t="shared" si="8"/>
        <v>49.455599999999983</v>
      </c>
      <c r="I97">
        <f t="shared" si="4"/>
        <v>27.304800000000004</v>
      </c>
    </row>
    <row r="98" spans="1:9" x14ac:dyDescent="0.25">
      <c r="A98" s="7">
        <v>46106.579861342594</v>
      </c>
      <c r="B98" s="10">
        <v>45.51</v>
      </c>
      <c r="C98" s="10">
        <v>41.96</v>
      </c>
      <c r="D98" s="10">
        <v>30.28</v>
      </c>
      <c r="E98" s="10">
        <v>134.6</v>
      </c>
      <c r="F98" s="21">
        <f>AVERAGE(E74:E98)</f>
        <v>168.76800000000003</v>
      </c>
      <c r="G98">
        <f t="shared" si="7"/>
        <v>61.887200000000014</v>
      </c>
      <c r="H98">
        <f t="shared" si="8"/>
        <v>50.413199999999989</v>
      </c>
      <c r="I98">
        <f t="shared" si="4"/>
        <v>30.293199999999999</v>
      </c>
    </row>
    <row r="99" spans="1:9" x14ac:dyDescent="0.25">
      <c r="A99" s="7">
        <v>46106.621528067131</v>
      </c>
      <c r="B99" s="10">
        <v>73.94</v>
      </c>
      <c r="C99" s="10">
        <v>56.75</v>
      </c>
      <c r="D99" s="10">
        <v>43.04</v>
      </c>
      <c r="E99" s="10">
        <v>122.2</v>
      </c>
      <c r="F99" s="21">
        <f t="shared" si="9"/>
        <v>168.87600000000003</v>
      </c>
      <c r="G99">
        <f t="shared" si="7"/>
        <v>61.462800000000016</v>
      </c>
      <c r="H99">
        <f t="shared" si="8"/>
        <v>50.187999999999995</v>
      </c>
      <c r="I99">
        <f t="shared" si="4"/>
        <v>30.503999999999998</v>
      </c>
    </row>
    <row r="100" spans="1:9" x14ac:dyDescent="0.25">
      <c r="A100" s="7">
        <v>46106.663194791669</v>
      </c>
      <c r="B100" s="10">
        <v>408.01</v>
      </c>
      <c r="C100" s="10">
        <v>233.96</v>
      </c>
      <c r="D100" s="10">
        <v>112.12</v>
      </c>
      <c r="E100" s="10">
        <v>102.5</v>
      </c>
      <c r="F100" s="21">
        <f>AVERAGE(E76:E100)</f>
        <v>168.25200000000001</v>
      </c>
      <c r="G100">
        <f t="shared" si="7"/>
        <v>74.146800000000013</v>
      </c>
      <c r="H100">
        <f t="shared" si="8"/>
        <v>56.916399999999996</v>
      </c>
      <c r="I100">
        <f t="shared" si="4"/>
        <v>33.404400000000003</v>
      </c>
    </row>
    <row r="101" spans="1:9" x14ac:dyDescent="0.25">
      <c r="A101" s="7">
        <v>46106.704861516206</v>
      </c>
      <c r="B101" s="10">
        <v>120.74</v>
      </c>
      <c r="C101" s="10">
        <v>81.55</v>
      </c>
      <c r="D101" s="10">
        <v>59.38</v>
      </c>
      <c r="E101" s="10">
        <v>113.5</v>
      </c>
      <c r="F101" s="21">
        <f t="shared" ref="F101:F136" si="10">AVERAGE(E77:E101)</f>
        <v>168.05599999999998</v>
      </c>
      <c r="G101">
        <f t="shared" si="7"/>
        <v>75.473600000000019</v>
      </c>
      <c r="H101">
        <f t="shared" si="8"/>
        <v>57.576800000000006</v>
      </c>
      <c r="I101">
        <f t="shared" si="4"/>
        <v>34.158000000000001</v>
      </c>
    </row>
    <row r="102" spans="1:9" x14ac:dyDescent="0.25">
      <c r="A102" s="7">
        <v>46106.746528240743</v>
      </c>
      <c r="B102" s="10">
        <v>126.84</v>
      </c>
      <c r="C102" s="10">
        <v>84.79</v>
      </c>
      <c r="D102" s="10">
        <v>63.23</v>
      </c>
      <c r="E102" s="10">
        <v>112.7</v>
      </c>
      <c r="F102" s="21">
        <f t="shared" si="10"/>
        <v>166.916</v>
      </c>
      <c r="G102">
        <f t="shared" si="7"/>
        <v>79.070800000000006</v>
      </c>
      <c r="H102">
        <f t="shared" si="8"/>
        <v>59.482800000000005</v>
      </c>
      <c r="I102">
        <f t="shared" si="4"/>
        <v>35.776800000000001</v>
      </c>
    </row>
    <row r="103" spans="1:9" x14ac:dyDescent="0.25">
      <c r="A103" s="7">
        <v>46106.788888888892</v>
      </c>
      <c r="B103" s="10">
        <v>77.849999999999994</v>
      </c>
      <c r="C103" s="10">
        <v>58.83</v>
      </c>
      <c r="D103" s="10">
        <v>46.97</v>
      </c>
      <c r="E103" s="10">
        <v>121.1</v>
      </c>
      <c r="F103" s="21">
        <f t="shared" si="10"/>
        <v>166.696</v>
      </c>
      <c r="G103">
        <f t="shared" si="7"/>
        <v>79.742000000000004</v>
      </c>
      <c r="H103">
        <f t="shared" si="8"/>
        <v>59.8384</v>
      </c>
      <c r="I103">
        <f t="shared" si="4"/>
        <v>36.195200000000007</v>
      </c>
    </row>
    <row r="104" spans="1:9" x14ac:dyDescent="0.25">
      <c r="A104" s="7">
        <v>46106.830555555556</v>
      </c>
      <c r="B104" s="10">
        <v>51.41</v>
      </c>
      <c r="C104" s="10">
        <v>44.82</v>
      </c>
      <c r="D104" s="10">
        <v>35.33</v>
      </c>
      <c r="E104" s="10">
        <v>131.1</v>
      </c>
      <c r="F104" s="21">
        <f t="shared" si="10"/>
        <v>165.94400000000002</v>
      </c>
      <c r="G104">
        <f t="shared" si="7"/>
        <v>80.644400000000019</v>
      </c>
      <c r="H104">
        <f t="shared" si="8"/>
        <v>60.317599999999999</v>
      </c>
      <c r="I104">
        <f t="shared" si="4"/>
        <v>36.740800000000007</v>
      </c>
    </row>
    <row r="105" spans="1:9" x14ac:dyDescent="0.25">
      <c r="A105" s="7">
        <v>46106.87222222222</v>
      </c>
      <c r="B105" s="10">
        <v>75.459999999999994</v>
      </c>
      <c r="C105" s="10">
        <v>57.56</v>
      </c>
      <c r="D105" s="10">
        <v>47.64</v>
      </c>
      <c r="E105" s="10">
        <v>121.8</v>
      </c>
      <c r="F105" s="21">
        <f t="shared" si="10"/>
        <v>166.10400000000001</v>
      </c>
      <c r="G105">
        <f t="shared" si="7"/>
        <v>79.958400000000012</v>
      </c>
      <c r="H105">
        <f t="shared" si="8"/>
        <v>59.953999999999994</v>
      </c>
      <c r="I105">
        <f t="shared" si="4"/>
        <v>36.461999999999996</v>
      </c>
    </row>
    <row r="106" spans="1:9" x14ac:dyDescent="0.25">
      <c r="A106" s="7">
        <v>46106.913194444445</v>
      </c>
      <c r="B106" s="10">
        <v>81.62</v>
      </c>
      <c r="C106" s="10">
        <v>60.83</v>
      </c>
      <c r="D106" s="10">
        <v>50.65</v>
      </c>
      <c r="E106" s="10">
        <v>120.2</v>
      </c>
      <c r="F106" s="21">
        <f t="shared" si="10"/>
        <v>166.12400000000002</v>
      </c>
      <c r="G106">
        <f t="shared" si="7"/>
        <v>79.874400000000009</v>
      </c>
      <c r="H106">
        <f t="shared" si="8"/>
        <v>59.921599999999998</v>
      </c>
      <c r="I106">
        <f t="shared" si="4"/>
        <v>36.475599999999993</v>
      </c>
    </row>
    <row r="107" spans="1:9" x14ac:dyDescent="0.25">
      <c r="A107" s="7">
        <v>46106.954861111109</v>
      </c>
      <c r="B107" s="10">
        <v>597.42999999999995</v>
      </c>
      <c r="C107" s="10">
        <v>334.64</v>
      </c>
      <c r="D107" s="10">
        <v>230.31</v>
      </c>
      <c r="E107" s="10">
        <v>100.9</v>
      </c>
      <c r="F107" s="21">
        <f t="shared" si="10"/>
        <v>165.32399999999998</v>
      </c>
      <c r="G107">
        <f t="shared" si="7"/>
        <v>100.61840000000001</v>
      </c>
      <c r="H107">
        <f t="shared" si="8"/>
        <v>70.933599999999984</v>
      </c>
      <c r="I107">
        <f t="shared" si="4"/>
        <v>43.743199999999995</v>
      </c>
    </row>
    <row r="108" spans="1:9" x14ac:dyDescent="0.25">
      <c r="A108" s="7">
        <v>46106.996527662035</v>
      </c>
      <c r="B108" s="10">
        <v>59.39</v>
      </c>
      <c r="C108" s="10">
        <v>49.04</v>
      </c>
      <c r="D108" s="10">
        <v>40.69</v>
      </c>
      <c r="E108" s="10">
        <v>127.3</v>
      </c>
      <c r="F108" s="21">
        <f t="shared" si="10"/>
        <v>165.88</v>
      </c>
      <c r="G108">
        <f t="shared" si="7"/>
        <v>98.144799999999989</v>
      </c>
      <c r="H108">
        <f t="shared" si="8"/>
        <v>69.622799999999984</v>
      </c>
      <c r="I108">
        <f t="shared" si="8"/>
        <v>42.777200000000001</v>
      </c>
    </row>
    <row r="109" spans="1:9" x14ac:dyDescent="0.25">
      <c r="A109" s="7">
        <v>46107.038194270834</v>
      </c>
      <c r="B109" s="10">
        <v>75.16</v>
      </c>
      <c r="C109" s="10">
        <v>57.4</v>
      </c>
      <c r="D109" s="10">
        <v>48.31</v>
      </c>
      <c r="E109" s="10">
        <v>121.9</v>
      </c>
      <c r="F109" s="21">
        <f t="shared" si="10"/>
        <v>166.11599999999999</v>
      </c>
      <c r="G109">
        <f t="shared" si="7"/>
        <v>97.052399999999977</v>
      </c>
      <c r="H109">
        <f t="shared" si="8"/>
        <v>69.043999999999997</v>
      </c>
      <c r="I109">
        <f t="shared" si="8"/>
        <v>42.370800000000003</v>
      </c>
    </row>
    <row r="110" spans="1:9" x14ac:dyDescent="0.25">
      <c r="A110" s="7">
        <v>46107.079860937498</v>
      </c>
      <c r="B110" s="10">
        <v>72.67</v>
      </c>
      <c r="C110" s="10">
        <v>56.08</v>
      </c>
      <c r="D110" s="10">
        <v>47.32</v>
      </c>
      <c r="E110" s="10">
        <v>122.6</v>
      </c>
      <c r="F110" s="21">
        <f t="shared" si="10"/>
        <v>165.71600000000001</v>
      </c>
      <c r="G110">
        <f t="shared" ref="G110:G118" si="11">AVERAGE(B86:B110)</f>
        <v>98.010800000000003</v>
      </c>
      <c r="H110">
        <f t="shared" ref="H110:H118" si="12">AVERAGE(C86:C110)</f>
        <v>69.551599999999993</v>
      </c>
      <c r="I110">
        <f t="shared" ref="I110:I136" si="13">AVERAGE(D86:D110)</f>
        <v>42.885199999999998</v>
      </c>
    </row>
    <row r="111" spans="1:9" x14ac:dyDescent="0.25">
      <c r="A111" s="7">
        <v>46107.121527604169</v>
      </c>
      <c r="B111" s="10">
        <v>35.729999999999997</v>
      </c>
      <c r="C111" s="10">
        <v>36.51</v>
      </c>
      <c r="D111" s="10">
        <v>27.34</v>
      </c>
      <c r="E111" s="10">
        <v>142.30000000000001</v>
      </c>
      <c r="F111" s="21">
        <f t="shared" si="10"/>
        <v>166.9</v>
      </c>
      <c r="G111">
        <f t="shared" si="11"/>
        <v>94.347599999999986</v>
      </c>
      <c r="H111">
        <f t="shared" si="12"/>
        <v>67.610399999999998</v>
      </c>
      <c r="I111">
        <f t="shared" si="13"/>
        <v>41.253600000000006</v>
      </c>
    </row>
    <row r="112" spans="1:9" x14ac:dyDescent="0.25">
      <c r="A112" s="7">
        <v>46107.163194270834</v>
      </c>
      <c r="B112" s="10">
        <v>15.1</v>
      </c>
      <c r="C112" s="10">
        <v>25.58</v>
      </c>
      <c r="D112" s="10">
        <v>13.3</v>
      </c>
      <c r="E112" s="10">
        <v>177</v>
      </c>
      <c r="F112" s="21">
        <f t="shared" si="10"/>
        <v>169.15599999999998</v>
      </c>
      <c r="G112">
        <f t="shared" si="11"/>
        <v>91.754799999999975</v>
      </c>
      <c r="H112">
        <f t="shared" si="12"/>
        <v>66.236799999999988</v>
      </c>
      <c r="I112">
        <f t="shared" si="13"/>
        <v>39.843600000000009</v>
      </c>
    </row>
    <row r="113" spans="1:9" x14ac:dyDescent="0.25">
      <c r="A113" s="7">
        <v>46107.204860937498</v>
      </c>
      <c r="B113" s="10">
        <v>60.93</v>
      </c>
      <c r="C113" s="10">
        <v>49.86</v>
      </c>
      <c r="D113" s="10">
        <v>40.35</v>
      </c>
      <c r="E113" s="10">
        <v>126.7</v>
      </c>
      <c r="F113" s="21">
        <f t="shared" si="10"/>
        <v>169.416</v>
      </c>
      <c r="G113">
        <f t="shared" si="11"/>
        <v>90.928399999999996</v>
      </c>
      <c r="H113">
        <f t="shared" si="12"/>
        <v>65.798799999999986</v>
      </c>
      <c r="I113">
        <f t="shared" si="13"/>
        <v>39.486800000000009</v>
      </c>
    </row>
    <row r="114" spans="1:9" x14ac:dyDescent="0.25">
      <c r="A114" s="7">
        <v>46107.246527604169</v>
      </c>
      <c r="B114" s="10">
        <v>146.55000000000001</v>
      </c>
      <c r="C114" s="10">
        <v>95.23</v>
      </c>
      <c r="D114" s="10">
        <v>73.28</v>
      </c>
      <c r="E114" s="10">
        <v>110.8</v>
      </c>
      <c r="F114" s="21">
        <f t="shared" si="10"/>
        <v>169.03200000000001</v>
      </c>
      <c r="G114">
        <f t="shared" si="11"/>
        <v>93.56280000000001</v>
      </c>
      <c r="H114">
        <f t="shared" si="12"/>
        <v>67.194800000000001</v>
      </c>
      <c r="I114">
        <f t="shared" si="13"/>
        <v>40.488</v>
      </c>
    </row>
    <row r="115" spans="1:9" x14ac:dyDescent="0.25">
      <c r="A115" s="7">
        <v>46107.288194270834</v>
      </c>
      <c r="B115" s="10">
        <v>45.54</v>
      </c>
      <c r="C115" s="10">
        <v>41.71</v>
      </c>
      <c r="D115" s="10">
        <v>32.729999999999997</v>
      </c>
      <c r="E115" s="10">
        <v>134.6</v>
      </c>
      <c r="F115" s="21">
        <f t="shared" si="10"/>
        <v>169.24400000000003</v>
      </c>
      <c r="G115">
        <f t="shared" si="11"/>
        <v>93.184000000000012</v>
      </c>
      <c r="H115">
        <f t="shared" si="12"/>
        <v>66.994399999999999</v>
      </c>
      <c r="I115">
        <f t="shared" si="13"/>
        <v>40.304400000000001</v>
      </c>
    </row>
    <row r="116" spans="1:9" x14ac:dyDescent="0.25">
      <c r="A116" s="7">
        <v>46107.330555555556</v>
      </c>
      <c r="B116" s="10">
        <v>35.380000000000003</v>
      </c>
      <c r="C116" s="10">
        <v>36.33</v>
      </c>
      <c r="D116" s="10">
        <v>27.45</v>
      </c>
      <c r="E116" s="10">
        <v>142.6</v>
      </c>
      <c r="F116" s="21">
        <f t="shared" si="10"/>
        <v>170.40400000000002</v>
      </c>
      <c r="G116">
        <f t="shared" si="11"/>
        <v>89.813200000000009</v>
      </c>
      <c r="H116">
        <f t="shared" si="12"/>
        <v>65.208399999999997</v>
      </c>
      <c r="I116">
        <f t="shared" si="13"/>
        <v>38.797599999999996</v>
      </c>
    </row>
    <row r="117" spans="1:9" x14ac:dyDescent="0.25">
      <c r="A117" s="7">
        <v>46107.37222222222</v>
      </c>
      <c r="B117" s="10">
        <v>15.27</v>
      </c>
      <c r="C117" s="10">
        <v>25.68</v>
      </c>
      <c r="D117" s="10">
        <v>13.65</v>
      </c>
      <c r="E117" s="10">
        <v>176.5</v>
      </c>
      <c r="F117" s="21">
        <f t="shared" si="10"/>
        <v>171.72400000000002</v>
      </c>
      <c r="G117">
        <f t="shared" si="11"/>
        <v>89.045600000000007</v>
      </c>
      <c r="H117">
        <f t="shared" si="12"/>
        <v>64.801999999999992</v>
      </c>
      <c r="I117">
        <f t="shared" si="13"/>
        <v>38.323599999999999</v>
      </c>
    </row>
    <row r="118" spans="1:9" x14ac:dyDescent="0.25">
      <c r="A118" s="7">
        <v>46107.413888773146</v>
      </c>
      <c r="B118">
        <v>28.2</v>
      </c>
      <c r="C118">
        <v>32.53</v>
      </c>
      <c r="D118">
        <v>22.6</v>
      </c>
      <c r="E118">
        <v>150.80000000000001</v>
      </c>
      <c r="F118" s="21">
        <f t="shared" si="10"/>
        <v>157.708</v>
      </c>
      <c r="G118">
        <f t="shared" si="11"/>
        <v>90.423999999999992</v>
      </c>
      <c r="H118">
        <f t="shared" si="12"/>
        <v>65.531999999999996</v>
      </c>
      <c r="I118">
        <f t="shared" si="13"/>
        <v>36.452400000000004</v>
      </c>
    </row>
    <row r="119" spans="1:9" x14ac:dyDescent="0.25">
      <c r="A119" s="7">
        <v>46107.455555381945</v>
      </c>
      <c r="B119">
        <v>39.04</v>
      </c>
      <c r="C119">
        <v>38.26</v>
      </c>
      <c r="D119">
        <v>29.35</v>
      </c>
      <c r="E119">
        <v>139.30000000000001</v>
      </c>
      <c r="F119" s="21">
        <f t="shared" si="10"/>
        <v>141.44000000000003</v>
      </c>
      <c r="G119">
        <f t="shared" ref="G119:G136" si="14">AVERAGE(B95:B119)</f>
        <v>92.256799999999998</v>
      </c>
      <c r="H119">
        <f t="shared" ref="H119:H136" si="15">AVERAGE(C95:C119)</f>
        <v>66.502399999999994</v>
      </c>
      <c r="I119">
        <f t="shared" si="13"/>
        <v>41.328800000000001</v>
      </c>
    </row>
    <row r="120" spans="1:9" x14ac:dyDescent="0.25">
      <c r="A120" s="7">
        <v>46107.497221990743</v>
      </c>
      <c r="B120">
        <v>68.22</v>
      </c>
      <c r="C120">
        <v>53.72</v>
      </c>
      <c r="D120">
        <v>45.18</v>
      </c>
      <c r="E120">
        <v>124</v>
      </c>
      <c r="F120" s="21">
        <f t="shared" si="10"/>
        <v>137.02800000000002</v>
      </c>
      <c r="G120">
        <f t="shared" si="14"/>
        <v>94.827199999999991</v>
      </c>
      <c r="H120">
        <f t="shared" si="15"/>
        <v>67.863599999999991</v>
      </c>
      <c r="I120">
        <f t="shared" si="13"/>
        <v>44.551199999999987</v>
      </c>
    </row>
    <row r="121" spans="1:9" x14ac:dyDescent="0.25">
      <c r="A121" s="7">
        <v>46107.538888599534</v>
      </c>
      <c r="B121">
        <v>84.75</v>
      </c>
      <c r="C121">
        <v>62.48</v>
      </c>
      <c r="D121">
        <v>53.48</v>
      </c>
      <c r="E121">
        <v>119.4</v>
      </c>
      <c r="F121" s="21">
        <f t="shared" si="10"/>
        <v>131.108</v>
      </c>
      <c r="G121">
        <f t="shared" si="14"/>
        <v>98.179199999999994</v>
      </c>
      <c r="H121">
        <f t="shared" si="15"/>
        <v>69.638800000000003</v>
      </c>
      <c r="I121">
        <f t="shared" si="13"/>
        <v>48.297199999999997</v>
      </c>
    </row>
    <row r="122" spans="1:9" x14ac:dyDescent="0.25">
      <c r="A122" s="7">
        <v>46107.580555092594</v>
      </c>
      <c r="B122">
        <v>67.709999999999994</v>
      </c>
      <c r="C122">
        <v>53.45</v>
      </c>
      <c r="D122">
        <v>44.71</v>
      </c>
      <c r="E122">
        <v>124.2</v>
      </c>
      <c r="F122" s="21">
        <f t="shared" si="10"/>
        <v>128.82400000000001</v>
      </c>
      <c r="G122">
        <f t="shared" si="14"/>
        <v>100.33799999999999</v>
      </c>
      <c r="H122">
        <f t="shared" si="15"/>
        <v>70.781999999999996</v>
      </c>
      <c r="I122">
        <f t="shared" si="13"/>
        <v>51.14759999999999</v>
      </c>
    </row>
    <row r="123" spans="1:9" x14ac:dyDescent="0.25">
      <c r="A123" s="7">
        <v>46107.621527777781</v>
      </c>
      <c r="B123">
        <v>109.88</v>
      </c>
      <c r="C123">
        <v>75.8</v>
      </c>
      <c r="D123">
        <v>62.53</v>
      </c>
      <c r="E123">
        <v>114.9</v>
      </c>
      <c r="F123" s="21">
        <f t="shared" si="10"/>
        <v>128.036</v>
      </c>
      <c r="G123">
        <f t="shared" si="14"/>
        <v>102.9128</v>
      </c>
      <c r="H123">
        <f t="shared" si="15"/>
        <v>72.135600000000011</v>
      </c>
      <c r="I123">
        <f t="shared" si="13"/>
        <v>52.437599999999996</v>
      </c>
    </row>
    <row r="124" spans="1:9" x14ac:dyDescent="0.25">
      <c r="A124" s="7">
        <v>46107.663194444445</v>
      </c>
      <c r="B124">
        <v>55.52</v>
      </c>
      <c r="C124">
        <v>46.99</v>
      </c>
      <c r="D124">
        <v>38.630000000000003</v>
      </c>
      <c r="E124">
        <v>129</v>
      </c>
      <c r="F124" s="21">
        <f t="shared" si="10"/>
        <v>128.30800000000002</v>
      </c>
      <c r="G124">
        <f t="shared" si="14"/>
        <v>102.176</v>
      </c>
      <c r="H124">
        <f t="shared" si="15"/>
        <v>71.745199999999997</v>
      </c>
      <c r="I124">
        <f t="shared" si="13"/>
        <v>52.261200000000002</v>
      </c>
    </row>
    <row r="125" spans="1:9" x14ac:dyDescent="0.25">
      <c r="A125" s="7">
        <v>46107.704861111109</v>
      </c>
      <c r="B125">
        <v>133.81</v>
      </c>
      <c r="C125">
        <v>88.48</v>
      </c>
      <c r="D125">
        <v>75.8</v>
      </c>
      <c r="E125">
        <v>112</v>
      </c>
      <c r="F125" s="21">
        <f t="shared" si="10"/>
        <v>128.68799999999999</v>
      </c>
      <c r="G125">
        <f t="shared" si="14"/>
        <v>91.208000000000013</v>
      </c>
      <c r="H125">
        <f t="shared" si="15"/>
        <v>65.926000000000002</v>
      </c>
      <c r="I125">
        <f t="shared" si="13"/>
        <v>50.808399999999999</v>
      </c>
    </row>
    <row r="126" spans="1:9" x14ac:dyDescent="0.25">
      <c r="A126" s="7">
        <v>46107.746527662035</v>
      </c>
      <c r="B126">
        <v>67.23</v>
      </c>
      <c r="C126">
        <v>53.2</v>
      </c>
      <c r="D126">
        <v>46.5</v>
      </c>
      <c r="E126">
        <v>124.3</v>
      </c>
      <c r="F126" s="21">
        <f t="shared" si="10"/>
        <v>129.12</v>
      </c>
      <c r="G126">
        <f t="shared" si="14"/>
        <v>89.067599999999999</v>
      </c>
      <c r="H126">
        <f t="shared" si="15"/>
        <v>64.792000000000002</v>
      </c>
      <c r="I126">
        <f t="shared" si="13"/>
        <v>50.293199999999999</v>
      </c>
    </row>
    <row r="127" spans="1:9" x14ac:dyDescent="0.25">
      <c r="A127" s="7">
        <v>46107.788194270834</v>
      </c>
      <c r="B127">
        <v>51.72</v>
      </c>
      <c r="C127">
        <v>44.98</v>
      </c>
      <c r="D127">
        <v>36.42</v>
      </c>
      <c r="E127">
        <v>130.9</v>
      </c>
      <c r="F127" s="21">
        <f t="shared" si="10"/>
        <v>129.84800000000001</v>
      </c>
      <c r="G127">
        <f t="shared" si="14"/>
        <v>86.062799999999982</v>
      </c>
      <c r="H127">
        <f t="shared" si="15"/>
        <v>63.199600000000011</v>
      </c>
      <c r="I127">
        <f t="shared" si="13"/>
        <v>49.220800000000011</v>
      </c>
    </row>
    <row r="128" spans="1:9" x14ac:dyDescent="0.25">
      <c r="A128" s="7">
        <v>46107.830555092594</v>
      </c>
      <c r="B128">
        <v>86.81</v>
      </c>
      <c r="C128">
        <v>63.57</v>
      </c>
      <c r="D128">
        <v>53.63</v>
      </c>
      <c r="E128">
        <v>119</v>
      </c>
      <c r="F128" s="21">
        <f t="shared" si="10"/>
        <v>129.76400000000001</v>
      </c>
      <c r="G128">
        <f t="shared" si="14"/>
        <v>86.421199999999985</v>
      </c>
      <c r="H128">
        <f t="shared" si="15"/>
        <v>63.38920000000001</v>
      </c>
      <c r="I128">
        <f t="shared" si="13"/>
        <v>49.487200000000009</v>
      </c>
    </row>
    <row r="129" spans="1:9" x14ac:dyDescent="0.25">
      <c r="A129" s="7">
        <v>46107.872221817132</v>
      </c>
      <c r="B129">
        <v>57.56</v>
      </c>
      <c r="C129">
        <v>48.08</v>
      </c>
      <c r="D129">
        <v>39.96</v>
      </c>
      <c r="E129">
        <v>128.1</v>
      </c>
      <c r="F129" s="21">
        <f t="shared" si="10"/>
        <v>129.64400000000001</v>
      </c>
      <c r="G129">
        <f t="shared" si="14"/>
        <v>86.667200000000008</v>
      </c>
      <c r="H129">
        <f t="shared" si="15"/>
        <v>63.519599999999997</v>
      </c>
      <c r="I129">
        <f t="shared" si="13"/>
        <v>49.67240000000001</v>
      </c>
    </row>
    <row r="130" spans="1:9" x14ac:dyDescent="0.25">
      <c r="A130" s="7">
        <v>46107.913888541669</v>
      </c>
      <c r="B130">
        <v>111.16</v>
      </c>
      <c r="C130">
        <v>76.47</v>
      </c>
      <c r="D130">
        <v>63.73</v>
      </c>
      <c r="E130">
        <v>114.7</v>
      </c>
      <c r="F130" s="21">
        <f t="shared" si="10"/>
        <v>129.35999999999999</v>
      </c>
      <c r="G130">
        <f t="shared" si="14"/>
        <v>88.095200000000006</v>
      </c>
      <c r="H130">
        <f t="shared" si="15"/>
        <v>64.27600000000001</v>
      </c>
      <c r="I130">
        <f t="shared" si="13"/>
        <v>50.316000000000003</v>
      </c>
    </row>
    <row r="131" spans="1:9" x14ac:dyDescent="0.25">
      <c r="A131" s="7">
        <v>46107.955555266206</v>
      </c>
      <c r="B131">
        <v>185.16</v>
      </c>
      <c r="C131">
        <v>115.71</v>
      </c>
      <c r="D131">
        <v>93.35</v>
      </c>
      <c r="E131">
        <v>108.2</v>
      </c>
      <c r="F131" s="21">
        <f t="shared" si="10"/>
        <v>128.88</v>
      </c>
      <c r="G131">
        <f t="shared" si="14"/>
        <v>92.236799999999988</v>
      </c>
      <c r="H131">
        <f t="shared" si="15"/>
        <v>66.471199999999996</v>
      </c>
      <c r="I131">
        <f t="shared" si="13"/>
        <v>52.024000000000008</v>
      </c>
    </row>
    <row r="132" spans="1:9" x14ac:dyDescent="0.25">
      <c r="A132" s="7">
        <v>46107.997221990743</v>
      </c>
      <c r="B132">
        <v>56.37</v>
      </c>
      <c r="C132">
        <v>47.45</v>
      </c>
      <c r="D132">
        <v>41.2</v>
      </c>
      <c r="E132">
        <v>128.6</v>
      </c>
      <c r="F132" s="21">
        <f t="shared" si="10"/>
        <v>129.98799999999997</v>
      </c>
      <c r="G132">
        <f t="shared" si="14"/>
        <v>70.594400000000007</v>
      </c>
      <c r="H132">
        <f t="shared" si="15"/>
        <v>54.983600000000003</v>
      </c>
      <c r="I132">
        <f t="shared" si="13"/>
        <v>44.459600000000002</v>
      </c>
    </row>
    <row r="133" spans="1:9" x14ac:dyDescent="0.25">
      <c r="A133" s="7">
        <v>46108.03888871528</v>
      </c>
      <c r="B133">
        <v>80.02</v>
      </c>
      <c r="C133">
        <v>59.98</v>
      </c>
      <c r="D133">
        <v>54.41</v>
      </c>
      <c r="E133">
        <v>120.6</v>
      </c>
      <c r="F133" s="21">
        <f t="shared" si="10"/>
        <v>129.72</v>
      </c>
      <c r="G133">
        <f t="shared" si="14"/>
        <v>71.419600000000003</v>
      </c>
      <c r="H133">
        <f t="shared" si="15"/>
        <v>55.421200000000006</v>
      </c>
      <c r="I133">
        <f t="shared" si="13"/>
        <v>45.008400000000002</v>
      </c>
    </row>
    <row r="134" spans="1:9" x14ac:dyDescent="0.25">
      <c r="A134" s="7">
        <v>46108.080555439818</v>
      </c>
      <c r="B134">
        <v>296.01</v>
      </c>
      <c r="C134">
        <v>174.51</v>
      </c>
      <c r="D134">
        <v>170.41</v>
      </c>
      <c r="E134">
        <v>104.3</v>
      </c>
      <c r="F134" s="21">
        <f t="shared" si="10"/>
        <v>129.01599999999999</v>
      </c>
      <c r="G134">
        <f t="shared" si="14"/>
        <v>80.253599999999992</v>
      </c>
      <c r="H134">
        <f t="shared" si="15"/>
        <v>60.10560000000001</v>
      </c>
      <c r="I134">
        <f t="shared" si="13"/>
        <v>49.892400000000009</v>
      </c>
    </row>
    <row r="135" spans="1:9" x14ac:dyDescent="0.25">
      <c r="A135" s="7">
        <v>46108.12222222222</v>
      </c>
      <c r="B135">
        <v>65.81</v>
      </c>
      <c r="C135">
        <v>52.45</v>
      </c>
      <c r="D135">
        <v>47.61</v>
      </c>
      <c r="E135">
        <v>124.8</v>
      </c>
      <c r="F135" s="21">
        <f t="shared" si="10"/>
        <v>129.10399999999998</v>
      </c>
      <c r="G135">
        <f t="shared" si="14"/>
        <v>79.979200000000006</v>
      </c>
      <c r="H135">
        <f t="shared" si="15"/>
        <v>59.960400000000021</v>
      </c>
      <c r="I135">
        <f t="shared" si="13"/>
        <v>49.904000000000003</v>
      </c>
    </row>
    <row r="136" spans="1:9" x14ac:dyDescent="0.25">
      <c r="A136" s="7">
        <v>46108.163888888892</v>
      </c>
      <c r="B136">
        <v>82.11</v>
      </c>
      <c r="C136">
        <v>61.08</v>
      </c>
      <c r="D136">
        <v>55.91</v>
      </c>
      <c r="E136">
        <v>120.1</v>
      </c>
      <c r="F136" s="21">
        <f t="shared" si="10"/>
        <v>128.21599999999998</v>
      </c>
      <c r="G136">
        <f t="shared" si="14"/>
        <v>81.834400000000002</v>
      </c>
      <c r="H136">
        <f t="shared" si="15"/>
        <v>60.943200000000019</v>
      </c>
      <c r="I136">
        <f t="shared" si="13"/>
        <v>51.046800000000005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Dados Completos</vt:lpstr>
      <vt:lpstr>Habs, Psat</vt:lpstr>
      <vt:lpstr>Diferentes médias móveis</vt:lpstr>
      <vt:lpstr>Média móvel CAS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Riscado</dc:creator>
  <cp:lastModifiedBy>Duarte Riscado</cp:lastModifiedBy>
  <dcterms:created xsi:type="dcterms:W3CDTF">2026-03-24T12:15:06Z</dcterms:created>
  <dcterms:modified xsi:type="dcterms:W3CDTF">2026-03-31T20:32:36Z</dcterms:modified>
</cp:coreProperties>
</file>