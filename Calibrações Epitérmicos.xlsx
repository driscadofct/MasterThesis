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5CE1B0B-4A18-415A-9656-3ADD801A1911}" xr6:coauthVersionLast="47" xr6:coauthVersionMax="47" xr10:uidLastSave="{00000000-0000-0000-0000-000000000000}"/>
  <bookViews>
    <workbookView xWindow="-109" yWindow="-109" windowWidth="34995" windowHeight="19060" firstSheet="4" activeTab="5" xr2:uid="{05BEA4D1-7F20-4B98-B210-D464C58A7B9D}"/>
  </bookViews>
  <sheets>
    <sheet name="Constantes e Funções Auxiliares" sheetId="5" r:id="rId1"/>
    <sheet name="Medições Diretas" sheetId="1" r:id="rId2"/>
    <sheet name="Ponderação Vertical" sheetId="2" r:id="rId3"/>
    <sheet name="Ponderação Horizontal " sheetId="6" r:id="rId4"/>
    <sheet name="Fatores de Correção" sheetId="4" r:id="rId5"/>
    <sheet name="Método N0" sheetId="7" r:id="rId6"/>
    <sheet name="Método UT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7" l="1"/>
  <c r="J20" i="7"/>
  <c r="C5" i="7"/>
  <c r="J19" i="7"/>
  <c r="F19" i="7"/>
  <c r="I5" i="7"/>
  <c r="H5" i="7"/>
  <c r="F18" i="7"/>
  <c r="E18" i="7"/>
  <c r="D18" i="7"/>
  <c r="C18" i="7"/>
  <c r="B18" i="7"/>
  <c r="E19" i="7"/>
  <c r="E31" i="7"/>
  <c r="D31" i="7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8" i="6"/>
  <c r="U9" i="6"/>
  <c r="U7" i="6"/>
  <c r="L7" i="6"/>
  <c r="I38" i="2"/>
  <c r="J7" i="6"/>
  <c r="I16" i="2"/>
  <c r="I8" i="2"/>
  <c r="I9" i="2"/>
  <c r="I10" i="2"/>
  <c r="I11" i="2"/>
  <c r="I12" i="2"/>
  <c r="I13" i="2"/>
  <c r="I14" i="2"/>
  <c r="I15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9" i="2"/>
  <c r="I40" i="2"/>
  <c r="I41" i="2"/>
  <c r="I42" i="2"/>
  <c r="I43" i="2"/>
  <c r="I44" i="2"/>
  <c r="I45" i="2"/>
  <c r="I46" i="2"/>
  <c r="I47" i="2"/>
  <c r="I48" i="2"/>
  <c r="I7" i="2"/>
  <c r="K7" i="6"/>
  <c r="K40" i="6"/>
  <c r="K37" i="6"/>
  <c r="K28" i="6"/>
  <c r="M25" i="6"/>
  <c r="M22" i="6"/>
  <c r="K19" i="6"/>
  <c r="K16" i="6"/>
  <c r="K13" i="6"/>
  <c r="K10" i="6"/>
  <c r="K46" i="6"/>
  <c r="K43" i="6"/>
  <c r="Z9" i="4"/>
  <c r="C16" i="4"/>
  <c r="S11" i="4" s="1"/>
  <c r="G21" i="5"/>
  <c r="F21" i="5"/>
  <c r="E21" i="5"/>
  <c r="D21" i="5"/>
  <c r="L44" i="1"/>
  <c r="M44" i="1"/>
  <c r="D8" i="8"/>
  <c r="G8" i="8" s="1"/>
  <c r="P8" i="8" s="1"/>
  <c r="M11" i="4"/>
  <c r="O10" i="6"/>
  <c r="Q10" i="6"/>
  <c r="O13" i="6"/>
  <c r="Q13" i="6"/>
  <c r="O16" i="6"/>
  <c r="Q16" i="6"/>
  <c r="M19" i="6"/>
  <c r="O19" i="6"/>
  <c r="Q19" i="6"/>
  <c r="K22" i="6"/>
  <c r="O22" i="6"/>
  <c r="Q22" i="6"/>
  <c r="O25" i="6"/>
  <c r="Q25" i="6"/>
  <c r="O28" i="6"/>
  <c r="Q28" i="6"/>
  <c r="K31" i="6"/>
  <c r="M31" i="6"/>
  <c r="O31" i="6"/>
  <c r="Q31" i="6"/>
  <c r="K34" i="6"/>
  <c r="M34" i="6"/>
  <c r="O34" i="6"/>
  <c r="Q34" i="6"/>
  <c r="O37" i="6"/>
  <c r="Q37" i="6"/>
  <c r="O40" i="6"/>
  <c r="Q40" i="6"/>
  <c r="O43" i="6"/>
  <c r="Q43" i="6"/>
  <c r="O46" i="6"/>
  <c r="Q46" i="6"/>
  <c r="M7" i="6"/>
  <c r="Q7" i="6"/>
  <c r="O7" i="6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7" i="2"/>
  <c r="C19" i="7" l="1"/>
  <c r="D19" i="7"/>
  <c r="M5" i="7"/>
  <c r="F31" i="7" s="1"/>
  <c r="M13" i="6"/>
  <c r="K25" i="6"/>
  <c r="M10" i="6"/>
  <c r="M37" i="6"/>
  <c r="M46" i="6"/>
  <c r="M43" i="6"/>
  <c r="M40" i="6"/>
  <c r="M28" i="6"/>
  <c r="M16" i="6"/>
  <c r="G16" i="4"/>
  <c r="E20" i="4" s="1"/>
  <c r="G8" i="2" l="1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7" i="2"/>
  <c r="AD36" i="6"/>
  <c r="Z34" i="6"/>
  <c r="AD32" i="6"/>
  <c r="AD30" i="6"/>
  <c r="Y43" i="6"/>
  <c r="L13" i="6" l="1"/>
  <c r="L19" i="6"/>
  <c r="L25" i="6"/>
  <c r="L31" i="6"/>
  <c r="L37" i="6"/>
  <c r="L43" i="6"/>
  <c r="L10" i="6"/>
  <c r="L16" i="6"/>
  <c r="L22" i="6"/>
  <c r="L28" i="6"/>
  <c r="L34" i="6"/>
  <c r="L40" i="6"/>
  <c r="L46" i="6"/>
  <c r="N7" i="6"/>
  <c r="N19" i="6"/>
  <c r="N31" i="6"/>
  <c r="N43" i="6"/>
  <c r="N10" i="6"/>
  <c r="N16" i="6"/>
  <c r="N22" i="6"/>
  <c r="N28" i="6"/>
  <c r="N34" i="6"/>
  <c r="N40" i="6"/>
  <c r="N46" i="6"/>
  <c r="N13" i="6"/>
  <c r="N25" i="6"/>
  <c r="N37" i="6"/>
  <c r="R7" i="6"/>
  <c r="R13" i="6"/>
  <c r="R19" i="6"/>
  <c r="R25" i="6"/>
  <c r="R31" i="6"/>
  <c r="R37" i="6"/>
  <c r="R43" i="6"/>
  <c r="R10" i="6"/>
  <c r="R16" i="6"/>
  <c r="R22" i="6"/>
  <c r="R28" i="6"/>
  <c r="R34" i="6"/>
  <c r="R40" i="6"/>
  <c r="R46" i="6"/>
  <c r="P13" i="6"/>
  <c r="P19" i="6"/>
  <c r="P25" i="6"/>
  <c r="P31" i="6"/>
  <c r="P37" i="6"/>
  <c r="P43" i="6"/>
  <c r="P10" i="6"/>
  <c r="P16" i="6"/>
  <c r="P22" i="6"/>
  <c r="P28" i="6"/>
  <c r="P34" i="6"/>
  <c r="P40" i="6"/>
  <c r="P46" i="6"/>
  <c r="P7" i="6"/>
  <c r="J20" i="2"/>
  <c r="J21" i="2"/>
  <c r="J36" i="2"/>
  <c r="J37" i="2"/>
  <c r="R42" i="2"/>
  <c r="W36" i="2"/>
  <c r="S34" i="2"/>
  <c r="W32" i="2"/>
  <c r="W30" i="2"/>
  <c r="J29" i="2"/>
  <c r="J21" i="5"/>
  <c r="J24" i="2"/>
  <c r="J26" i="2"/>
  <c r="J45" i="2"/>
  <c r="K21" i="5"/>
  <c r="C21" i="5"/>
  <c r="J14" i="2" s="1"/>
  <c r="I21" i="5"/>
  <c r="C10" i="5"/>
  <c r="G12" i="5"/>
  <c r="G8" i="5"/>
  <c r="G6" i="5"/>
  <c r="N7" i="1"/>
  <c r="N8" i="1"/>
  <c r="N9" i="1"/>
  <c r="N10" i="1"/>
  <c r="N11" i="1"/>
  <c r="N12" i="1"/>
  <c r="N13" i="1"/>
  <c r="P13" i="1" s="1"/>
  <c r="R13" i="1" s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5" i="1"/>
  <c r="L46" i="1"/>
  <c r="L47" i="1"/>
  <c r="L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5" i="1"/>
  <c r="M46" i="1"/>
  <c r="M47" i="1"/>
  <c r="M6" i="1"/>
  <c r="U13" i="1" l="1"/>
  <c r="W13" i="1" s="1"/>
  <c r="P32" i="1"/>
  <c r="Q44" i="1"/>
  <c r="P6" i="1"/>
  <c r="Q27" i="1"/>
  <c r="Q8" i="1"/>
  <c r="P42" i="1"/>
  <c r="P26" i="1"/>
  <c r="P44" i="1"/>
  <c r="Q21" i="1"/>
  <c r="P40" i="1"/>
  <c r="Q40" i="1"/>
  <c r="P12" i="1"/>
  <c r="P41" i="1"/>
  <c r="P9" i="1"/>
  <c r="Q36" i="1"/>
  <c r="Q20" i="1"/>
  <c r="Q35" i="1"/>
  <c r="P39" i="1"/>
  <c r="J13" i="2"/>
  <c r="J7" i="2"/>
  <c r="K8" i="2" s="1"/>
  <c r="L8" i="2" s="1"/>
  <c r="M8" i="2" s="1"/>
  <c r="J33" i="2"/>
  <c r="J40" i="2"/>
  <c r="J42" i="2"/>
  <c r="J44" i="2"/>
  <c r="J28" i="2"/>
  <c r="J12" i="2"/>
  <c r="J43" i="2"/>
  <c r="J27" i="2"/>
  <c r="J11" i="2"/>
  <c r="J10" i="2"/>
  <c r="J41" i="2"/>
  <c r="J25" i="2"/>
  <c r="J9" i="2"/>
  <c r="J8" i="2"/>
  <c r="Q34" i="1"/>
  <c r="P38" i="1"/>
  <c r="J39" i="2"/>
  <c r="J23" i="2"/>
  <c r="Q33" i="1"/>
  <c r="Q17" i="1"/>
  <c r="P21" i="1"/>
  <c r="P15" i="1"/>
  <c r="J38" i="2"/>
  <c r="J22" i="2"/>
  <c r="J35" i="2"/>
  <c r="J19" i="2"/>
  <c r="Q29" i="1"/>
  <c r="P43" i="1"/>
  <c r="P27" i="1"/>
  <c r="P11" i="1"/>
  <c r="J34" i="2"/>
  <c r="J18" i="2"/>
  <c r="J17" i="2"/>
  <c r="J48" i="2"/>
  <c r="J32" i="2"/>
  <c r="J16" i="2"/>
  <c r="J47" i="2"/>
  <c r="J31" i="2"/>
  <c r="J15" i="2"/>
  <c r="P7" i="1"/>
  <c r="J46" i="2"/>
  <c r="J30" i="2"/>
  <c r="Q22" i="1"/>
  <c r="P14" i="1"/>
  <c r="P24" i="1"/>
  <c r="Q19" i="1"/>
  <c r="P23" i="1"/>
  <c r="Q18" i="1"/>
  <c r="Q39" i="1"/>
  <c r="Q23" i="1"/>
  <c r="Q7" i="1"/>
  <c r="P37" i="1"/>
  <c r="P22" i="1"/>
  <c r="Q43" i="1"/>
  <c r="Q11" i="1"/>
  <c r="P47" i="1"/>
  <c r="P31" i="1"/>
  <c r="Q6" i="1"/>
  <c r="Q32" i="1"/>
  <c r="Q16" i="1"/>
  <c r="Q42" i="1"/>
  <c r="Q26" i="1"/>
  <c r="Q10" i="1"/>
  <c r="P20" i="1"/>
  <c r="P46" i="1"/>
  <c r="P30" i="1"/>
  <c r="Q47" i="1"/>
  <c r="Q31" i="1"/>
  <c r="Q15" i="1"/>
  <c r="Q41" i="1"/>
  <c r="Q25" i="1"/>
  <c r="Q9" i="1"/>
  <c r="P35" i="1"/>
  <c r="P19" i="1"/>
  <c r="P45" i="1"/>
  <c r="P29" i="1"/>
  <c r="Q46" i="1"/>
  <c r="Q30" i="1"/>
  <c r="P28" i="1"/>
  <c r="P8" i="1"/>
  <c r="P17" i="1"/>
  <c r="Q38" i="1"/>
  <c r="P16" i="1"/>
  <c r="Q13" i="1"/>
  <c r="P10" i="1"/>
  <c r="P36" i="1"/>
  <c r="Q14" i="1"/>
  <c r="Q12" i="1"/>
  <c r="Q37" i="1"/>
  <c r="P34" i="1"/>
  <c r="P33" i="1"/>
  <c r="Q28" i="1"/>
  <c r="P25" i="1"/>
  <c r="Q24" i="1"/>
  <c r="P18" i="1"/>
  <c r="Q45" i="1"/>
  <c r="V45" i="1" s="1"/>
  <c r="X45" i="1" s="1"/>
  <c r="S32" i="1" l="1"/>
  <c r="V32" i="1"/>
  <c r="X32" i="1" s="1"/>
  <c r="S6" i="1"/>
  <c r="V6" i="1"/>
  <c r="X6" i="1" s="1"/>
  <c r="S9" i="1"/>
  <c r="T9" i="1" s="1"/>
  <c r="V9" i="1"/>
  <c r="X9" i="1" s="1"/>
  <c r="S37" i="1"/>
  <c r="V37" i="1"/>
  <c r="X37" i="1" s="1"/>
  <c r="S12" i="1"/>
  <c r="V12" i="1"/>
  <c r="X12" i="1" s="1"/>
  <c r="R7" i="1"/>
  <c r="U7" i="1"/>
  <c r="W7" i="1" s="1"/>
  <c r="S14" i="1"/>
  <c r="V14" i="1"/>
  <c r="X14" i="1" s="1"/>
  <c r="R21" i="1"/>
  <c r="U21" i="1"/>
  <c r="W21" i="1" s="1"/>
  <c r="R26" i="1"/>
  <c r="U26" i="1"/>
  <c r="W26" i="1" s="1"/>
  <c r="S31" i="1"/>
  <c r="V31" i="1"/>
  <c r="X31" i="1" s="1"/>
  <c r="S17" i="1"/>
  <c r="V17" i="1"/>
  <c r="X17" i="1" s="1"/>
  <c r="R42" i="1"/>
  <c r="U42" i="1"/>
  <c r="W42" i="1" s="1"/>
  <c r="S33" i="1"/>
  <c r="V33" i="1"/>
  <c r="X33" i="1" s="1"/>
  <c r="K27" i="2"/>
  <c r="L27" i="2" s="1"/>
  <c r="M27" i="2" s="1"/>
  <c r="K47" i="2"/>
  <c r="L47" i="2" s="1"/>
  <c r="M47" i="2" s="1"/>
  <c r="R34" i="1"/>
  <c r="T34" i="1" s="1"/>
  <c r="U34" i="1"/>
  <c r="W34" i="1" s="1"/>
  <c r="S22" i="1"/>
  <c r="V22" i="1"/>
  <c r="X22" i="1" s="1"/>
  <c r="R31" i="1"/>
  <c r="U31" i="1"/>
  <c r="W31" i="1" s="1"/>
  <c r="R47" i="1"/>
  <c r="U47" i="1"/>
  <c r="W47" i="1" s="1"/>
  <c r="S11" i="1"/>
  <c r="V11" i="1"/>
  <c r="X11" i="1" s="1"/>
  <c r="R15" i="1"/>
  <c r="U15" i="1"/>
  <c r="W15" i="1" s="1"/>
  <c r="R22" i="1"/>
  <c r="U22" i="1"/>
  <c r="W22" i="1" s="1"/>
  <c r="S7" i="1"/>
  <c r="V7" i="1"/>
  <c r="X7" i="1" s="1"/>
  <c r="S38" i="1"/>
  <c r="V38" i="1"/>
  <c r="X38" i="1" s="1"/>
  <c r="S23" i="1"/>
  <c r="V23" i="1"/>
  <c r="X23" i="1" s="1"/>
  <c r="S27" i="1"/>
  <c r="V27" i="1"/>
  <c r="X27" i="1" s="1"/>
  <c r="R35" i="1"/>
  <c r="U35" i="1"/>
  <c r="W35" i="1" s="1"/>
  <c r="R36" i="1"/>
  <c r="U36" i="1"/>
  <c r="W36" i="1" s="1"/>
  <c r="S15" i="1"/>
  <c r="V15" i="1"/>
  <c r="X15" i="1" s="1"/>
  <c r="S13" i="1"/>
  <c r="T13" i="1" s="1"/>
  <c r="V13" i="1"/>
  <c r="X13" i="1" s="1"/>
  <c r="Y13" i="1" s="1"/>
  <c r="R45" i="1"/>
  <c r="U45" i="1"/>
  <c r="W45" i="1" s="1"/>
  <c r="Y45" i="1" s="1"/>
  <c r="R19" i="1"/>
  <c r="T19" i="1" s="1"/>
  <c r="U19" i="1"/>
  <c r="W19" i="1" s="1"/>
  <c r="Y19" i="1" s="1"/>
  <c r="S44" i="1"/>
  <c r="V44" i="1"/>
  <c r="X44" i="1" s="1"/>
  <c r="S41" i="1"/>
  <c r="V41" i="1"/>
  <c r="X41" i="1" s="1"/>
  <c r="R37" i="1"/>
  <c r="U37" i="1"/>
  <c r="W37" i="1" s="1"/>
  <c r="R39" i="1"/>
  <c r="U39" i="1"/>
  <c r="W39" i="1" s="1"/>
  <c r="R18" i="1"/>
  <c r="U18" i="1"/>
  <c r="W18" i="1" s="1"/>
  <c r="R16" i="1"/>
  <c r="T16" i="1" s="1"/>
  <c r="U16" i="1"/>
  <c r="W16" i="1" s="1"/>
  <c r="Y16" i="1" s="1"/>
  <c r="S47" i="1"/>
  <c r="T47" i="1" s="1"/>
  <c r="V47" i="1"/>
  <c r="X47" i="1" s="1"/>
  <c r="S35" i="1"/>
  <c r="V35" i="1"/>
  <c r="X35" i="1" s="1"/>
  <c r="R46" i="1"/>
  <c r="T46" i="1" s="1"/>
  <c r="U46" i="1"/>
  <c r="W46" i="1" s="1"/>
  <c r="Y46" i="1" s="1"/>
  <c r="S36" i="1"/>
  <c r="V36" i="1"/>
  <c r="X36" i="1" s="1"/>
  <c r="R25" i="1"/>
  <c r="U25" i="1"/>
  <c r="W25" i="1" s="1"/>
  <c r="R8" i="1"/>
  <c r="U8" i="1"/>
  <c r="W8" i="1" s="1"/>
  <c r="S18" i="1"/>
  <c r="V18" i="1"/>
  <c r="X18" i="1" s="1"/>
  <c r="R38" i="1"/>
  <c r="U38" i="1"/>
  <c r="W38" i="1" s="1"/>
  <c r="S8" i="1"/>
  <c r="V8" i="1"/>
  <c r="X8" i="1" s="1"/>
  <c r="S10" i="1"/>
  <c r="T10" i="1" s="1"/>
  <c r="V10" i="1"/>
  <c r="X10" i="1" s="1"/>
  <c r="K34" i="2"/>
  <c r="L34" i="2" s="1"/>
  <c r="M34" i="2" s="1"/>
  <c r="R41" i="1"/>
  <c r="U41" i="1"/>
  <c r="W41" i="1" s="1"/>
  <c r="S21" i="1"/>
  <c r="V21" i="1"/>
  <c r="X21" i="1" s="1"/>
  <c r="S28" i="1"/>
  <c r="V28" i="1"/>
  <c r="X28" i="1" s="1"/>
  <c r="S26" i="1"/>
  <c r="V26" i="1"/>
  <c r="X26" i="1" s="1"/>
  <c r="S19" i="1"/>
  <c r="V19" i="1"/>
  <c r="X19" i="1" s="1"/>
  <c r="R11" i="1"/>
  <c r="T11" i="1" s="1"/>
  <c r="U11" i="1"/>
  <c r="W11" i="1" s="1"/>
  <c r="Y11" i="1" s="1"/>
  <c r="S29" i="1"/>
  <c r="V29" i="1"/>
  <c r="X29" i="1" s="1"/>
  <c r="S25" i="1"/>
  <c r="T25" i="1" s="1"/>
  <c r="V25" i="1"/>
  <c r="X25" i="1" s="1"/>
  <c r="S43" i="1"/>
  <c r="V43" i="1"/>
  <c r="X43" i="1" s="1"/>
  <c r="R10" i="1"/>
  <c r="U10" i="1"/>
  <c r="W10" i="1" s="1"/>
  <c r="R40" i="1"/>
  <c r="U40" i="1"/>
  <c r="W40" i="1" s="1"/>
  <c r="R30" i="1"/>
  <c r="U30" i="1"/>
  <c r="W30" i="1" s="1"/>
  <c r="S20" i="1"/>
  <c r="V20" i="1"/>
  <c r="X20" i="1" s="1"/>
  <c r="S24" i="1"/>
  <c r="V24" i="1"/>
  <c r="X24" i="1" s="1"/>
  <c r="R17" i="1"/>
  <c r="T17" i="1" s="1"/>
  <c r="U17" i="1"/>
  <c r="W17" i="1" s="1"/>
  <c r="S39" i="1"/>
  <c r="T39" i="1" s="1"/>
  <c r="V39" i="1"/>
  <c r="X39" i="1" s="1"/>
  <c r="K30" i="2"/>
  <c r="L30" i="2" s="1"/>
  <c r="M30" i="2" s="1"/>
  <c r="R20" i="1"/>
  <c r="U20" i="1"/>
  <c r="W20" i="1" s="1"/>
  <c r="K18" i="2"/>
  <c r="L18" i="2" s="1"/>
  <c r="M18" i="2" s="1"/>
  <c r="R9" i="1"/>
  <c r="U9" i="1"/>
  <c r="W9" i="1" s="1"/>
  <c r="R32" i="1"/>
  <c r="T32" i="1" s="1"/>
  <c r="U32" i="1"/>
  <c r="W32" i="1" s="1"/>
  <c r="R28" i="1"/>
  <c r="U28" i="1"/>
  <c r="W28" i="1" s="1"/>
  <c r="R23" i="1"/>
  <c r="U23" i="1"/>
  <c r="W23" i="1" s="1"/>
  <c r="S34" i="1"/>
  <c r="V34" i="1"/>
  <c r="X34" i="1" s="1"/>
  <c r="S30" i="1"/>
  <c r="V30" i="1"/>
  <c r="X30" i="1" s="1"/>
  <c r="K20" i="2"/>
  <c r="L20" i="2" s="1"/>
  <c r="M20" i="2" s="1"/>
  <c r="R12" i="1"/>
  <c r="U12" i="1"/>
  <c r="W12" i="1" s="1"/>
  <c r="R44" i="1"/>
  <c r="U44" i="1"/>
  <c r="W44" i="1" s="1"/>
  <c r="R6" i="1"/>
  <c r="U6" i="1"/>
  <c r="W6" i="1" s="1"/>
  <c r="S46" i="1"/>
  <c r="V46" i="1"/>
  <c r="X46" i="1" s="1"/>
  <c r="S42" i="1"/>
  <c r="T42" i="1" s="1"/>
  <c r="V42" i="1"/>
  <c r="X42" i="1" s="1"/>
  <c r="R24" i="1"/>
  <c r="T24" i="1" s="1"/>
  <c r="U24" i="1"/>
  <c r="W24" i="1" s="1"/>
  <c r="R27" i="1"/>
  <c r="T27" i="1" s="1"/>
  <c r="U27" i="1"/>
  <c r="W27" i="1" s="1"/>
  <c r="Y27" i="1" s="1"/>
  <c r="K22" i="2"/>
  <c r="L22" i="2" s="1"/>
  <c r="M22" i="2" s="1"/>
  <c r="S40" i="1"/>
  <c r="V40" i="1"/>
  <c r="X40" i="1" s="1"/>
  <c r="R33" i="1"/>
  <c r="U33" i="1"/>
  <c r="W33" i="1" s="1"/>
  <c r="R29" i="1"/>
  <c r="U29" i="1"/>
  <c r="W29" i="1" s="1"/>
  <c r="S16" i="1"/>
  <c r="V16" i="1"/>
  <c r="X16" i="1" s="1"/>
  <c r="R14" i="1"/>
  <c r="U14" i="1"/>
  <c r="W14" i="1" s="1"/>
  <c r="R43" i="1"/>
  <c r="U43" i="1"/>
  <c r="W43" i="1" s="1"/>
  <c r="K26" i="2"/>
  <c r="L26" i="2" s="1"/>
  <c r="M26" i="2" s="1"/>
  <c r="K42" i="2"/>
  <c r="L42" i="2" s="1"/>
  <c r="M42" i="2" s="1"/>
  <c r="K11" i="2"/>
  <c r="L11" i="2" s="1"/>
  <c r="M11" i="2" s="1"/>
  <c r="K44" i="2"/>
  <c r="L44" i="2" s="1"/>
  <c r="M44" i="2" s="1"/>
  <c r="K14" i="2"/>
  <c r="L14" i="2" s="1"/>
  <c r="M14" i="2" s="1"/>
  <c r="K15" i="2"/>
  <c r="L15" i="2" s="1"/>
  <c r="M15" i="2" s="1"/>
  <c r="K32" i="2"/>
  <c r="L32" i="2" s="1"/>
  <c r="M32" i="2" s="1"/>
  <c r="K39" i="2"/>
  <c r="L39" i="2" s="1"/>
  <c r="M39" i="2" s="1"/>
  <c r="K43" i="2"/>
  <c r="L43" i="2" s="1"/>
  <c r="K48" i="2"/>
  <c r="L48" i="2" s="1"/>
  <c r="M48" i="2" s="1"/>
  <c r="K24" i="2"/>
  <c r="L24" i="2" s="1"/>
  <c r="M24" i="2" s="1"/>
  <c r="K17" i="2"/>
  <c r="L17" i="2" s="1"/>
  <c r="M17" i="2" s="1"/>
  <c r="K33" i="2"/>
  <c r="L33" i="2" s="1"/>
  <c r="M33" i="2" s="1"/>
  <c r="K19" i="2"/>
  <c r="L19" i="2" s="1"/>
  <c r="K21" i="2"/>
  <c r="L21" i="2" s="1"/>
  <c r="M21" i="2" s="1"/>
  <c r="K16" i="2"/>
  <c r="L16" i="2" s="1"/>
  <c r="K40" i="2"/>
  <c r="L40" i="2" s="1"/>
  <c r="K9" i="2"/>
  <c r="L9" i="2" s="1"/>
  <c r="M9" i="2" s="1"/>
  <c r="K37" i="2"/>
  <c r="L37" i="2" s="1"/>
  <c r="K13" i="2"/>
  <c r="L13" i="2" s="1"/>
  <c r="K7" i="2"/>
  <c r="L7" i="2" s="1"/>
  <c r="K36" i="2"/>
  <c r="L36" i="2" s="1"/>
  <c r="M36" i="2" s="1"/>
  <c r="K25" i="2"/>
  <c r="L25" i="2" s="1"/>
  <c r="K12" i="2"/>
  <c r="L12" i="2" s="1"/>
  <c r="M12" i="2" s="1"/>
  <c r="K29" i="2"/>
  <c r="L29" i="2" s="1"/>
  <c r="M29" i="2" s="1"/>
  <c r="K35" i="2"/>
  <c r="L35" i="2" s="1"/>
  <c r="M35" i="2" s="1"/>
  <c r="K10" i="2"/>
  <c r="L10" i="2" s="1"/>
  <c r="K28" i="2"/>
  <c r="L28" i="2" s="1"/>
  <c r="K45" i="2"/>
  <c r="L45" i="2" s="1"/>
  <c r="M45" i="2" s="1"/>
  <c r="K41" i="2"/>
  <c r="L41" i="2" s="1"/>
  <c r="M41" i="2" s="1"/>
  <c r="K46" i="2"/>
  <c r="L46" i="2" s="1"/>
  <c r="K23" i="2"/>
  <c r="L23" i="2" s="1"/>
  <c r="M23" i="2" s="1"/>
  <c r="K31" i="2"/>
  <c r="L31" i="2" s="1"/>
  <c r="K38" i="2"/>
  <c r="L38" i="2" s="1"/>
  <c r="M38" i="2" s="1"/>
  <c r="T33" i="1"/>
  <c r="S45" i="1"/>
  <c r="Y6" i="1" l="1"/>
  <c r="Y36" i="1"/>
  <c r="T36" i="1"/>
  <c r="Y43" i="1"/>
  <c r="Y40" i="1"/>
  <c r="T37" i="1"/>
  <c r="Y34" i="1"/>
  <c r="Y32" i="1"/>
  <c r="Y28" i="1"/>
  <c r="Y21" i="1"/>
  <c r="T21" i="1"/>
  <c r="T18" i="1"/>
  <c r="Y17" i="1"/>
  <c r="T12" i="1"/>
  <c r="Y18" i="1"/>
  <c r="T14" i="1"/>
  <c r="T43" i="1"/>
  <c r="T22" i="1"/>
  <c r="T15" i="1"/>
  <c r="Y31" i="1"/>
  <c r="T7" i="1"/>
  <c r="T6" i="1"/>
  <c r="N34" i="2"/>
  <c r="Y24" i="1"/>
  <c r="Y7" i="1"/>
  <c r="Y23" i="1"/>
  <c r="Y22" i="1"/>
  <c r="Y39" i="1"/>
  <c r="Y29" i="1"/>
  <c r="Y9" i="1"/>
  <c r="T8" i="1"/>
  <c r="T29" i="1"/>
  <c r="Y44" i="1"/>
  <c r="T40" i="1"/>
  <c r="T28" i="1"/>
  <c r="Y25" i="1"/>
  <c r="Y37" i="1"/>
  <c r="Y35" i="1"/>
  <c r="Y47" i="1"/>
  <c r="Y14" i="1"/>
  <c r="T38" i="1"/>
  <c r="T45" i="1"/>
  <c r="Y42" i="1"/>
  <c r="Y30" i="1"/>
  <c r="T30" i="1"/>
  <c r="Y33" i="1"/>
  <c r="T44" i="1"/>
  <c r="Y10" i="1"/>
  <c r="T35" i="1"/>
  <c r="Y12" i="1"/>
  <c r="Y20" i="1"/>
  <c r="Y26" i="1"/>
  <c r="T23" i="1"/>
  <c r="Y38" i="1"/>
  <c r="Y15" i="1"/>
  <c r="Y8" i="1"/>
  <c r="T20" i="1"/>
  <c r="Y41" i="1"/>
  <c r="T41" i="1"/>
  <c r="T31" i="1"/>
  <c r="T26" i="1"/>
  <c r="O28" i="2"/>
  <c r="M28" i="2"/>
  <c r="N28" i="2" s="1"/>
  <c r="M10" i="2"/>
  <c r="N10" i="2" s="1"/>
  <c r="O10" i="2"/>
  <c r="P10" i="2" s="1"/>
  <c r="M43" i="2"/>
  <c r="N43" i="2" s="1"/>
  <c r="O43" i="2"/>
  <c r="O25" i="2"/>
  <c r="M25" i="2"/>
  <c r="N25" i="2" s="1"/>
  <c r="M7" i="2"/>
  <c r="N7" i="2" s="1"/>
  <c r="O7" i="2"/>
  <c r="O13" i="2"/>
  <c r="M13" i="2"/>
  <c r="N13" i="2" s="1"/>
  <c r="M37" i="2"/>
  <c r="N37" i="2" s="1"/>
  <c r="O37" i="2"/>
  <c r="M31" i="2"/>
  <c r="N31" i="2" s="1"/>
  <c r="O31" i="2"/>
  <c r="O40" i="2"/>
  <c r="M40" i="2"/>
  <c r="N40" i="2" s="1"/>
  <c r="O16" i="2"/>
  <c r="M16" i="2"/>
  <c r="N16" i="2" s="1"/>
  <c r="N22" i="2"/>
  <c r="M46" i="2"/>
  <c r="N46" i="2" s="1"/>
  <c r="O46" i="2"/>
  <c r="O22" i="2"/>
  <c r="O19" i="2"/>
  <c r="M19" i="2"/>
  <c r="N19" i="2" s="1"/>
  <c r="O34" i="2"/>
  <c r="P34" i="2" l="1"/>
  <c r="P25" i="2"/>
  <c r="P16" i="2"/>
  <c r="P13" i="2"/>
  <c r="Z5" i="1"/>
  <c r="P19" i="2"/>
  <c r="P37" i="2"/>
  <c r="P43" i="2"/>
  <c r="P31" i="2"/>
  <c r="P7" i="2"/>
  <c r="P46" i="2"/>
  <c r="P22" i="2"/>
  <c r="P40" i="2"/>
  <c r="P28" i="2"/>
  <c r="J13" i="6"/>
  <c r="T13" i="6" s="1"/>
  <c r="S13" i="6"/>
  <c r="J23" i="6"/>
  <c r="T23" i="6" s="1"/>
  <c r="J11" i="6"/>
  <c r="T11" i="6" s="1"/>
  <c r="S11" i="6"/>
  <c r="J44" i="6"/>
  <c r="T44" i="6" s="1"/>
  <c r="J30" i="6"/>
  <c r="S30" i="6" s="1"/>
  <c r="T30" i="6"/>
  <c r="J12" i="6"/>
  <c r="T12" i="6" s="1"/>
  <c r="S12" i="6"/>
  <c r="J32" i="6"/>
  <c r="T32" i="6" s="1"/>
  <c r="S32" i="6"/>
  <c r="S7" i="6"/>
  <c r="J26" i="6"/>
  <c r="S26" i="6" s="1"/>
  <c r="J42" i="6"/>
  <c r="T42" i="6" s="1"/>
  <c r="J36" i="6"/>
  <c r="S36" i="6" s="1"/>
  <c r="T36" i="6"/>
  <c r="J20" i="6"/>
  <c r="S20" i="6" s="1"/>
  <c r="T20" i="6"/>
  <c r="J37" i="6"/>
  <c r="S37" i="6" s="1"/>
  <c r="J10" i="6"/>
  <c r="T10" i="6" s="1"/>
  <c r="S10" i="6"/>
  <c r="J18" i="6"/>
  <c r="T18" i="6" s="1"/>
  <c r="S18" i="6"/>
  <c r="J46" i="6"/>
  <c r="T46" i="6" s="1"/>
  <c r="S46" i="6"/>
  <c r="J15" i="6"/>
  <c r="S15" i="6" s="1"/>
  <c r="J24" i="6"/>
  <c r="T24" i="6" s="1"/>
  <c r="S24" i="6"/>
  <c r="J22" i="6"/>
  <c r="T22" i="6" s="1"/>
  <c r="J19" i="6"/>
  <c r="T19" i="6" s="1"/>
  <c r="S19" i="6"/>
  <c r="J40" i="6"/>
  <c r="S40" i="6" s="1"/>
  <c r="J35" i="6"/>
  <c r="S35" i="6" s="1"/>
  <c r="T35" i="6"/>
  <c r="J17" i="6"/>
  <c r="S17" i="6" s="1"/>
  <c r="T17" i="6"/>
  <c r="J47" i="6"/>
  <c r="T47" i="6" s="1"/>
  <c r="S47" i="6"/>
  <c r="J28" i="6"/>
  <c r="S28" i="6" s="1"/>
  <c r="J16" i="6"/>
  <c r="T16" i="6" s="1"/>
  <c r="S16" i="6"/>
  <c r="J45" i="6"/>
  <c r="T45" i="6" s="1"/>
  <c r="J33" i="6"/>
  <c r="T33" i="6" s="1"/>
  <c r="J48" i="6"/>
  <c r="S48" i="6" s="1"/>
  <c r="J21" i="6"/>
  <c r="T21" i="6" s="1"/>
  <c r="S21" i="6"/>
  <c r="J43" i="6"/>
  <c r="S43" i="6" s="1"/>
  <c r="T43" i="6"/>
  <c r="T38" i="6"/>
  <c r="J31" i="6"/>
  <c r="T31" i="6" s="1"/>
  <c r="S31" i="6"/>
  <c r="J41" i="6"/>
  <c r="S41" i="6" s="1"/>
  <c r="T41" i="6"/>
  <c r="J39" i="6"/>
  <c r="T39" i="6" s="1"/>
  <c r="J27" i="6"/>
  <c r="T27" i="6" s="1"/>
  <c r="J25" i="6"/>
  <c r="T25" i="6" s="1"/>
  <c r="S25" i="6"/>
  <c r="J29" i="6"/>
  <c r="T29" i="6" s="1"/>
  <c r="S29" i="6"/>
  <c r="J34" i="6"/>
  <c r="T34" i="6" s="1"/>
  <c r="S34" i="6"/>
  <c r="J14" i="6"/>
  <c r="T14" i="6" s="1"/>
  <c r="S14" i="6"/>
  <c r="T7" i="6"/>
  <c r="J8" i="6"/>
  <c r="S8" i="6" s="1"/>
  <c r="J9" i="6"/>
  <c r="T9" i="6" s="1"/>
  <c r="S9" i="6"/>
  <c r="J38" i="6"/>
  <c r="S38" i="6" s="1"/>
  <c r="T26" i="6" l="1"/>
  <c r="T28" i="6"/>
  <c r="T48" i="6"/>
  <c r="S27" i="6"/>
  <c r="S33" i="6"/>
  <c r="T37" i="6"/>
  <c r="S22" i="6"/>
  <c r="S23" i="6"/>
  <c r="S39" i="6"/>
  <c r="S45" i="6"/>
  <c r="S42" i="6"/>
  <c r="V7" i="6"/>
  <c r="S44" i="6"/>
  <c r="T40" i="6"/>
  <c r="T15" i="6"/>
  <c r="T8" i="6"/>
  <c r="W7" i="6" l="1"/>
  <c r="X7" i="6" s="1"/>
</calcChain>
</file>

<file path=xl/sharedStrings.xml><?xml version="1.0" encoding="utf-8"?>
<sst xmlns="http://schemas.openxmlformats.org/spreadsheetml/2006/main" count="429" uniqueCount="190">
  <si>
    <t>Perfil</t>
  </si>
  <si>
    <t>Raio / m</t>
  </si>
  <si>
    <t>Profundidade / cm</t>
  </si>
  <si>
    <t>1.1.1</t>
  </si>
  <si>
    <t>1.1.2</t>
  </si>
  <si>
    <t>1.1.3</t>
  </si>
  <si>
    <t>1.2.1</t>
  </si>
  <si>
    <t>1.2.2</t>
  </si>
  <si>
    <t>1.2.3</t>
  </si>
  <si>
    <t>1.3.1</t>
  </si>
  <si>
    <t>1.3.2</t>
  </si>
  <si>
    <t>1.3.3</t>
  </si>
  <si>
    <t>1.4.1</t>
  </si>
  <si>
    <t>1.4.2</t>
  </si>
  <si>
    <t>1.4.3</t>
  </si>
  <si>
    <t>1.5.1</t>
  </si>
  <si>
    <t>1.5.2</t>
  </si>
  <si>
    <t>1.5.3</t>
  </si>
  <si>
    <t>1.6.1</t>
  </si>
  <si>
    <t>1.6.2</t>
  </si>
  <si>
    <t>1.6.3</t>
  </si>
  <si>
    <t>2.1.1</t>
  </si>
  <si>
    <t>2.1.2</t>
  </si>
  <si>
    <t>2.1.3</t>
  </si>
  <si>
    <t>2.2.1</t>
  </si>
  <si>
    <t>2.2.2</t>
  </si>
  <si>
    <t>2.2.3</t>
  </si>
  <si>
    <t>2.3.1</t>
  </si>
  <si>
    <t>2.3.2</t>
  </si>
  <si>
    <t>2.3.3</t>
  </si>
  <si>
    <t>2.4.1</t>
  </si>
  <si>
    <t>2.4.2</t>
  </si>
  <si>
    <t>2.4.3</t>
  </si>
  <si>
    <t>2.5.1</t>
  </si>
  <si>
    <t>2.5.2</t>
  </si>
  <si>
    <t>2.5.3</t>
  </si>
  <si>
    <t>3.1.1</t>
  </si>
  <si>
    <t>3.2.2</t>
  </si>
  <si>
    <t>3.2.3</t>
  </si>
  <si>
    <t>3.1.2</t>
  </si>
  <si>
    <t>3.1.3</t>
  </si>
  <si>
    <t>3.2.1</t>
  </si>
  <si>
    <t>3.3.1</t>
  </si>
  <si>
    <t>3.3.2</t>
  </si>
  <si>
    <t>Massa recipiente / g</t>
  </si>
  <si>
    <t>Massa recipiente + solo húmido /g</t>
  </si>
  <si>
    <t>Massa recipiente + solo seco / g</t>
  </si>
  <si>
    <t>Massa solo húmido / g</t>
  </si>
  <si>
    <t>Massa solo seco / g</t>
  </si>
  <si>
    <t>Ensaio 1</t>
  </si>
  <si>
    <t>Ensaio 2</t>
  </si>
  <si>
    <t>Teor em água / %</t>
  </si>
  <si>
    <t>Teor em água médio / %</t>
  </si>
  <si>
    <t>Massa de água / g</t>
  </si>
  <si>
    <t>Cápsulas</t>
  </si>
  <si>
    <t>A</t>
  </si>
  <si>
    <t>B</t>
  </si>
  <si>
    <t>D</t>
  </si>
  <si>
    <t>C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</si>
  <si>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</si>
  <si>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</si>
  <si>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</si>
  <si>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</si>
  <si>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</si>
  <si>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</si>
  <si>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</si>
  <si>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</si>
  <si>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</si>
  <si>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</si>
  <si>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</si>
  <si>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</si>
  <si>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</si>
  <si>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</si>
  <si>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</si>
  <si>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U</t>
  </si>
  <si>
    <t>T</t>
  </si>
  <si>
    <t>V</t>
  </si>
  <si>
    <t>W</t>
  </si>
  <si>
    <t>X</t>
  </si>
  <si>
    <t>Y</t>
  </si>
  <si>
    <t>Z</t>
  </si>
  <si>
    <t>Amostra</t>
  </si>
  <si>
    <t>F0</t>
  </si>
  <si>
    <t>F1</t>
  </si>
  <si>
    <t>F2</t>
  </si>
  <si>
    <t>F3</t>
  </si>
  <si>
    <t>F4</t>
  </si>
  <si>
    <t>F5</t>
  </si>
  <si>
    <t>F6</t>
  </si>
  <si>
    <t>F7</t>
  </si>
  <si>
    <t>F8</t>
  </si>
  <si>
    <t>Fp</t>
  </si>
  <si>
    <t>Fveg</t>
  </si>
  <si>
    <t>D86</t>
  </si>
  <si>
    <t>p0</t>
  </si>
  <si>
    <t>p1</t>
  </si>
  <si>
    <t>p2</t>
  </si>
  <si>
    <t>p3</t>
  </si>
  <si>
    <t>p4</t>
  </si>
  <si>
    <t>p5</t>
  </si>
  <si>
    <t>p6</t>
  </si>
  <si>
    <t>3.7</t>
  </si>
  <si>
    <t>Hveg / m</t>
  </si>
  <si>
    <t>p / hPa</t>
  </si>
  <si>
    <t>T / ºC</t>
  </si>
  <si>
    <t>H / %</t>
  </si>
  <si>
    <r>
      <t>Hveg/ kgm</t>
    </r>
    <r>
      <rPr>
        <vertAlign val="superscript"/>
        <sz val="11"/>
        <color theme="1"/>
        <rFont val="Aptos Narrow"/>
        <family val="2"/>
        <scheme val="minor"/>
      </rPr>
      <t>-2</t>
    </r>
  </si>
  <si>
    <r>
      <t>H / gm</t>
    </r>
    <r>
      <rPr>
        <vertAlign val="superscript"/>
        <sz val="11"/>
        <color theme="1"/>
        <rFont val="Aptos Narrow"/>
        <family val="2"/>
        <scheme val="minor"/>
      </rPr>
      <t>-3</t>
    </r>
  </si>
  <si>
    <t>p / mbar</t>
  </si>
  <si>
    <r>
      <t>D</t>
    </r>
    <r>
      <rPr>
        <b/>
        <vertAlign val="subscript"/>
        <sz val="11"/>
        <color theme="1"/>
        <rFont val="Aptos Narrow"/>
        <family val="2"/>
        <scheme val="minor"/>
      </rPr>
      <t>86</t>
    </r>
  </si>
  <si>
    <t>r*</t>
  </si>
  <si>
    <r>
      <rPr>
        <sz val="11"/>
        <color theme="1"/>
        <rFont val="Symbol"/>
        <family val="1"/>
        <charset val="2"/>
      </rPr>
      <t>r</t>
    </r>
    <r>
      <rPr>
        <vertAlign val="subscript"/>
        <sz val="11"/>
        <color theme="1"/>
        <rFont val="Symbol"/>
        <family val="1"/>
        <charset val="2"/>
      </rPr>
      <t>á</t>
    </r>
    <r>
      <rPr>
        <vertAlign val="subscript"/>
        <sz val="11"/>
        <color theme="1"/>
        <rFont val="Aptos Narrow"/>
        <family val="2"/>
      </rPr>
      <t>gua</t>
    </r>
    <r>
      <rPr>
        <sz val="11"/>
        <color theme="1"/>
        <rFont val="Aptos Narrow"/>
        <family val="2"/>
      </rPr>
      <t xml:space="preserve"> / g cm</t>
    </r>
    <r>
      <rPr>
        <vertAlign val="superscript"/>
        <sz val="11"/>
        <color theme="1"/>
        <rFont val="Aptos Narrow"/>
        <family val="2"/>
      </rPr>
      <t>-3</t>
    </r>
  </si>
  <si>
    <r>
      <rPr>
        <sz val="11"/>
        <color theme="1"/>
        <rFont val="Symbol"/>
        <family val="1"/>
        <charset val="2"/>
      </rPr>
      <t>r</t>
    </r>
    <r>
      <rPr>
        <vertAlign val="subscript"/>
        <sz val="11"/>
        <color theme="1"/>
        <rFont val="Aptos Narrow"/>
        <family val="2"/>
      </rPr>
      <t>bulk</t>
    </r>
    <r>
      <rPr>
        <sz val="11"/>
        <color theme="1"/>
        <rFont val="Aptos Narrow"/>
        <family val="2"/>
      </rPr>
      <t xml:space="preserve"> / g cm</t>
    </r>
    <r>
      <rPr>
        <vertAlign val="superscript"/>
        <sz val="11"/>
        <color theme="1"/>
        <rFont val="Aptos Narrow"/>
        <family val="2"/>
      </rPr>
      <t>-3</t>
    </r>
  </si>
  <si>
    <t>Média</t>
  </si>
  <si>
    <r>
      <t>ϑ</t>
    </r>
    <r>
      <rPr>
        <vertAlign val="subscript"/>
        <sz val="11"/>
        <color theme="1"/>
        <rFont val="Aptos Narrow"/>
        <family val="2"/>
      </rPr>
      <t>V</t>
    </r>
    <r>
      <rPr>
        <b/>
        <sz val="11"/>
        <color theme="1"/>
        <rFont val="Aptos Narrow"/>
        <family val="2"/>
        <scheme val="minor"/>
      </rPr>
      <t xml:space="preserve"> / %</t>
    </r>
  </si>
  <si>
    <r>
      <t>ϑ</t>
    </r>
    <r>
      <rPr>
        <vertAlign val="subscript"/>
        <sz val="11"/>
        <color theme="1"/>
        <rFont val="Aptos Narrow"/>
        <family val="2"/>
      </rPr>
      <t>m</t>
    </r>
    <r>
      <rPr>
        <b/>
        <sz val="11"/>
        <color theme="1"/>
        <rFont val="Aptos Narrow"/>
        <family val="2"/>
        <scheme val="minor"/>
      </rPr>
      <t xml:space="preserve"> / %</t>
    </r>
  </si>
  <si>
    <r>
      <t>W</t>
    </r>
    <r>
      <rPr>
        <b/>
        <vertAlign val="subscript"/>
        <sz val="11"/>
        <color theme="1"/>
        <rFont val="Aptos Narrow"/>
        <family val="2"/>
        <scheme val="minor"/>
      </rPr>
      <t xml:space="preserve">d </t>
    </r>
    <r>
      <rPr>
        <b/>
        <sz val="11"/>
        <color theme="1"/>
        <rFont val="Aptos Narrow"/>
        <family val="2"/>
        <scheme val="minor"/>
      </rPr>
      <t xml:space="preserve">(r, </t>
    </r>
    <r>
      <rPr>
        <b/>
        <sz val="11"/>
        <color theme="1"/>
        <rFont val="Aptos Narrow"/>
        <family val="2"/>
      </rPr>
      <t>ϑ)</t>
    </r>
  </si>
  <si>
    <t>Método 1</t>
  </si>
  <si>
    <t>Método 2</t>
  </si>
  <si>
    <r>
      <t>W</t>
    </r>
    <r>
      <rPr>
        <b/>
        <vertAlign val="subscript"/>
        <sz val="11"/>
        <color theme="1"/>
        <rFont val="Aptos Narrow"/>
        <family val="2"/>
        <scheme val="minor"/>
      </rPr>
      <t xml:space="preserve">r </t>
    </r>
    <r>
      <rPr>
        <b/>
        <sz val="11"/>
        <color theme="1"/>
        <rFont val="Aptos Narrow"/>
        <family val="2"/>
        <scheme val="minor"/>
      </rPr>
      <t xml:space="preserve">(h, </t>
    </r>
    <r>
      <rPr>
        <b/>
        <sz val="11"/>
        <color theme="1"/>
        <rFont val="Aptos Narrow"/>
        <family val="2"/>
      </rPr>
      <t>ϑ)</t>
    </r>
  </si>
  <si>
    <r>
      <t>ϑ</t>
    </r>
    <r>
      <rPr>
        <vertAlign val="subscript"/>
        <sz val="11"/>
        <color theme="1"/>
        <rFont val="Aptos Narrow"/>
        <family val="2"/>
      </rPr>
      <t>V</t>
    </r>
  </si>
  <si>
    <t>Hveg/ kgm-2</t>
  </si>
  <si>
    <t>&lt;θ&gt;</t>
  </si>
  <si>
    <t>ϑV * Wd (r, ϑ)</t>
  </si>
  <si>
    <r>
      <rPr>
        <b/>
        <sz val="11"/>
        <color theme="1"/>
        <rFont val="Calibri"/>
        <family val="2"/>
      </rPr>
      <t>∑</t>
    </r>
    <r>
      <rPr>
        <b/>
        <sz val="9.35"/>
        <color theme="1"/>
        <rFont val="Aptos Narrow"/>
        <family val="2"/>
      </rPr>
      <t xml:space="preserve"> (</t>
    </r>
    <r>
      <rPr>
        <b/>
        <sz val="11"/>
        <color theme="1"/>
        <rFont val="Aptos Narrow"/>
        <family val="2"/>
        <scheme val="minor"/>
      </rPr>
      <t>ϑV * Wd (r, ϑ))</t>
    </r>
  </si>
  <si>
    <t>∑ (Wd (r, ϑ))</t>
  </si>
  <si>
    <t>θp</t>
  </si>
  <si>
    <t>∑ (Wr (r, ϑ))</t>
  </si>
  <si>
    <r>
      <rPr>
        <b/>
        <sz val="11"/>
        <color theme="1"/>
        <rFont val="Calibri"/>
        <family val="2"/>
      </rPr>
      <t>∑</t>
    </r>
    <r>
      <rPr>
        <b/>
        <sz val="9.35"/>
        <color theme="1"/>
        <rFont val="Aptos Narrow"/>
        <family val="2"/>
      </rPr>
      <t xml:space="preserve"> (</t>
    </r>
    <r>
      <rPr>
        <b/>
        <sz val="11"/>
        <color theme="1"/>
        <rFont val="Aptos Narrow"/>
        <family val="2"/>
        <scheme val="minor"/>
      </rPr>
      <t>ϑp * Wr (r, ϑ))</t>
    </r>
  </si>
  <si>
    <t>ϑp * Wr (r, ϑ)</t>
  </si>
  <si>
    <t>Correção humidade do ar</t>
  </si>
  <si>
    <t>Correção intensidade dos neutrões</t>
  </si>
  <si>
    <t>Correção pressão barométrica</t>
  </si>
  <si>
    <t>Correção da biomassa</t>
  </si>
  <si>
    <t>Rc / GV</t>
  </si>
  <si>
    <r>
      <t>X / g/cm</t>
    </r>
    <r>
      <rPr>
        <vertAlign val="superscript"/>
        <sz val="11"/>
        <color theme="1"/>
        <rFont val="Aptos Narrow"/>
        <family val="2"/>
        <scheme val="minor"/>
      </rPr>
      <t>2</t>
    </r>
  </si>
  <si>
    <t>K  (Jungfraujoch)</t>
  </si>
  <si>
    <t>c0</t>
  </si>
  <si>
    <t>c1</t>
  </si>
  <si>
    <t>c2</t>
  </si>
  <si>
    <t>c3</t>
  </si>
  <si>
    <t>c4</t>
  </si>
  <si>
    <t>c5</t>
  </si>
  <si>
    <t>ε</t>
  </si>
  <si>
    <t>τ</t>
  </si>
  <si>
    <t>Monitor de neutrões: Jungfraujoch</t>
  </si>
  <si>
    <t>I / cont/s</t>
  </si>
  <si>
    <t>CI</t>
  </si>
  <si>
    <r>
      <t>C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</si>
  <si>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 xml:space="preserve">ref </t>
    </r>
    <r>
      <rPr>
        <sz val="11"/>
        <color theme="1"/>
        <rFont val="Aptos Narrow"/>
        <family val="2"/>
        <scheme val="minor"/>
      </rPr>
      <t>/ cont/s</t>
    </r>
  </si>
  <si>
    <r>
      <rPr>
        <sz val="11"/>
        <color theme="1"/>
        <rFont val="Calibri"/>
        <family val="2"/>
      </rPr>
      <t>α</t>
    </r>
    <r>
      <rPr>
        <vertAlign val="subscript"/>
        <sz val="11"/>
        <color theme="1"/>
        <rFont val="Aptos Narrow"/>
        <family val="2"/>
      </rPr>
      <t>hum</t>
    </r>
    <r>
      <rPr>
        <sz val="11"/>
        <color theme="1"/>
        <rFont val="Aptos Narrow"/>
        <family val="2"/>
      </rPr>
      <t xml:space="preserve"> / m</t>
    </r>
    <r>
      <rPr>
        <vertAlign val="superscript"/>
        <sz val="11"/>
        <color theme="1"/>
        <rFont val="Aptos Narrow"/>
        <family val="2"/>
      </rPr>
      <t>3</t>
    </r>
    <r>
      <rPr>
        <sz val="11"/>
        <color theme="1"/>
        <rFont val="Aptos Narrow"/>
        <family val="2"/>
      </rPr>
      <t>/g</t>
    </r>
  </si>
  <si>
    <r>
      <t>λ</t>
    </r>
    <r>
      <rPr>
        <vertAlign val="subscript"/>
        <sz val="11"/>
        <color theme="1"/>
        <rFont val="Calibri"/>
        <family val="2"/>
      </rPr>
      <t xml:space="preserve">atm </t>
    </r>
    <r>
      <rPr>
        <sz val="11"/>
        <color theme="1"/>
        <rFont val="Calibri"/>
        <family val="2"/>
      </rPr>
      <t>g/m</t>
    </r>
    <r>
      <rPr>
        <vertAlign val="superscript"/>
        <sz val="11"/>
        <color theme="1"/>
        <rFont val="Calibri"/>
        <family val="2"/>
      </rPr>
      <t>3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</si>
  <si>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 xml:space="preserve">ref </t>
    </r>
    <r>
      <rPr>
        <sz val="11"/>
        <color theme="1"/>
        <rFont val="Aptos Narrow"/>
        <family val="2"/>
        <scheme val="minor"/>
      </rPr>
      <t>/ g/cm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</si>
  <si>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p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</si>
  <si>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abs</t>
    </r>
    <r>
      <rPr>
        <sz val="11"/>
        <color theme="1"/>
        <rFont val="Aptos Narrow"/>
        <family val="2"/>
        <scheme val="minor"/>
      </rPr>
      <t xml:space="preserve"> / gm</t>
    </r>
    <r>
      <rPr>
        <vertAlign val="superscript"/>
        <sz val="11"/>
        <color theme="1"/>
        <rFont val="Aptos Narrow"/>
        <family val="2"/>
        <scheme val="minor"/>
      </rPr>
      <t>-3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</si>
  <si>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abs</t>
    </r>
    <r>
      <rPr>
        <vertAlign val="superscript"/>
        <sz val="11"/>
        <color theme="1"/>
        <rFont val="Aptos Narrow"/>
        <family val="2"/>
        <scheme val="minor"/>
      </rPr>
      <t xml:space="preserve">ref </t>
    </r>
    <r>
      <rPr>
        <sz val="11"/>
        <color theme="1"/>
        <rFont val="Aptos Narrow"/>
        <family val="2"/>
        <scheme val="minor"/>
      </rPr>
      <t>/ g/m</t>
    </r>
    <r>
      <rPr>
        <vertAlign val="superscript"/>
        <sz val="11"/>
        <color theme="1"/>
        <rFont val="Aptos Narrow"/>
        <family val="2"/>
        <scheme val="minor"/>
      </rPr>
      <t>3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</si>
  <si>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h</t>
    </r>
  </si>
  <si>
    <r>
      <t>AGB / kgm</t>
    </r>
    <r>
      <rPr>
        <vertAlign val="superscript"/>
        <sz val="11"/>
        <color theme="1"/>
        <rFont val="Aptos Narrow"/>
        <family val="2"/>
        <scheme val="minor"/>
      </rPr>
      <t>-2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</si>
  <si>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veg</t>
    </r>
  </si>
  <si>
    <t>Ch</t>
  </si>
  <si>
    <t>Cp</t>
  </si>
  <si>
    <t>Cveg</t>
  </si>
  <si>
    <t>a0</t>
  </si>
  <si>
    <t>a1</t>
  </si>
  <si>
    <t>a2</t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</si>
  <si>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corr</t>
    </r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</si>
  <si>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0</t>
    </r>
  </si>
  <si>
    <t>Ncorr</t>
  </si>
  <si>
    <t>p7</t>
  </si>
  <si>
    <r>
      <t>ρ</t>
    </r>
    <r>
      <rPr>
        <vertAlign val="subscript"/>
        <sz val="11"/>
        <color theme="1"/>
        <rFont val="Aptos Narrow"/>
        <family val="2"/>
      </rPr>
      <t>sim</t>
    </r>
    <r>
      <rPr>
        <vertAlign val="superscript"/>
        <sz val="11"/>
        <color theme="1"/>
        <rFont val="Aptos Narrow"/>
        <family val="2"/>
      </rPr>
      <t>bd</t>
    </r>
    <r>
      <rPr>
        <sz val="11"/>
        <color theme="1"/>
        <rFont val="Aptos Narrow"/>
        <family val="2"/>
      </rPr>
      <t xml:space="preserve"> / gcm</t>
    </r>
    <r>
      <rPr>
        <vertAlign val="superscript"/>
        <sz val="11"/>
        <color theme="1"/>
        <rFont val="Aptos Narrow"/>
        <family val="2"/>
      </rPr>
      <t>-3</t>
    </r>
  </si>
  <si>
    <r>
      <t>ϑ</t>
    </r>
    <r>
      <rPr>
        <vertAlign val="superscript"/>
        <sz val="11"/>
        <color theme="1"/>
        <rFont val="Aptos Narrow"/>
        <family val="2"/>
      </rPr>
      <t>loc</t>
    </r>
  </si>
  <si>
    <r>
      <t>N</t>
    </r>
    <r>
      <rPr>
        <vertAlign val="subscript"/>
        <sz val="11"/>
        <color theme="1"/>
        <rFont val="Aptos Narrow"/>
        <family val="2"/>
        <scheme val="minor"/>
      </rPr>
      <t>D</t>
    </r>
  </si>
  <si>
    <t>14h00</t>
  </si>
  <si>
    <t>13h01</t>
  </si>
  <si>
    <t>15h01</t>
  </si>
  <si>
    <t>16h01</t>
  </si>
  <si>
    <t>H / gm-3</t>
  </si>
  <si>
    <t>Dados retirados no dia 03/03/2026, desde as 12:28 às 16:38</t>
  </si>
  <si>
    <t>Nmax</t>
  </si>
  <si>
    <t>13,18V</t>
  </si>
  <si>
    <t>13,23V</t>
  </si>
  <si>
    <t>Vbat</t>
  </si>
  <si>
    <t>Contagens</t>
  </si>
  <si>
    <t>Hora</t>
  </si>
  <si>
    <t>13,14V</t>
  </si>
  <si>
    <t>13,30V</t>
  </si>
  <si>
    <t>12,86V</t>
  </si>
  <si>
    <t>Total</t>
  </si>
  <si>
    <t>Delta Count /h</t>
  </si>
  <si>
    <t>Fcorr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</si>
</sst>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Symbol"/>
      <family val="1"/>
      <charset val="2"/>
    </font>
    <font>
      <sz val="11"/>
      <color theme="1"/>
      <name val="Aptos Narrow"/>
      <family val="1"/>
      <charset val="2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vertAlign val="subscript"/>
      <sz val="11"/>
      <color theme="1"/>
      <name val="Symbol"/>
      <family val="1"/>
      <charset val="2"/>
    </font>
    <font>
      <b/>
      <sz val="11"/>
      <color theme="1"/>
      <name val="Aptos Narrow"/>
      <family val="2"/>
    </font>
    <font>
      <b/>
      <sz val="11"/>
      <color theme="1"/>
      <name val="Aptos Narrow"/>
      <scheme val="minor"/>
    </font>
    <font>
      <b/>
      <sz val="11"/>
      <color theme="1"/>
      <name val="Calibri"/>
      <family val="2"/>
    </font>
    <font>
      <b/>
      <sz val="9.35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16" xfId="0" applyFont="1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17" xfId="0" applyFont="1" applyBorder="1"/>
    <xf numFmtId="0" fontId="1" fillId="0" borderId="18" xfId="0" applyFont="1" applyBorder="1"/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9" xfId="0" applyBorder="1"/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right"/>
    </xf>
    <xf numFmtId="0" fontId="5" fillId="0" borderId="0" xfId="0" applyFont="1"/>
    <xf numFmtId="2" fontId="0" fillId="0" borderId="30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35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2" fontId="0" fillId="0" borderId="37" xfId="0" applyNumberFormat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1" fontId="0" fillId="0" borderId="30" xfId="0" applyNumberFormat="1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11" fontId="0" fillId="0" borderId="11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165" fontId="0" fillId="0" borderId="30" xfId="0" applyNumberForma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12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1" fontId="0" fillId="0" borderId="1" xfId="0" applyNumberFormat="1" applyBorder="1"/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1" xfId="0" applyNumberFormat="1" applyBorder="1"/>
    <xf numFmtId="0" fontId="0" fillId="0" borderId="6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44" xfId="0" applyBorder="1"/>
    <xf numFmtId="0" fontId="0" fillId="0" borderId="46" xfId="0" applyBorder="1"/>
    <xf numFmtId="0" fontId="0" fillId="0" borderId="47" xfId="0" applyBorder="1"/>
    <xf numFmtId="0" fontId="0" fillId="0" borderId="45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36" xfId="0" applyBorder="1"/>
    <xf numFmtId="0" fontId="0" fillId="0" borderId="2" xfId="0" applyBorder="1"/>
    <xf numFmtId="0" fontId="0" fillId="0" borderId="34" xfId="0" applyBorder="1"/>
    <xf numFmtId="0" fontId="0" fillId="0" borderId="3" xfId="0" applyBorder="1"/>
    <xf numFmtId="0" fontId="0" fillId="0" borderId="6" xfId="0" applyBorder="1"/>
    <xf numFmtId="0" fontId="0" fillId="0" borderId="35" xfId="0" applyBorder="1"/>
    <xf numFmtId="0" fontId="0" fillId="0" borderId="7" xfId="0" applyBorder="1"/>
    <xf numFmtId="0" fontId="16" fillId="0" borderId="2" xfId="0" applyFont="1" applyBorder="1"/>
    <xf numFmtId="0" fontId="0" fillId="0" borderId="23" xfId="0" applyBorder="1"/>
    <xf numFmtId="0" fontId="0" fillId="0" borderId="30" xfId="0" applyBorder="1"/>
    <xf numFmtId="0" fontId="0" fillId="0" borderId="11" xfId="0" applyBorder="1"/>
    <xf numFmtId="0" fontId="3" fillId="0" borderId="2" xfId="0" applyFont="1" applyBorder="1"/>
    <xf numFmtId="0" fontId="0" fillId="0" borderId="3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0" fontId="0" fillId="0" borderId="0" xfId="0" applyNumberFormat="1"/>
    <xf numFmtId="16" fontId="0" fillId="0" borderId="0" xfId="0" applyNumberFormat="1"/>
    <xf numFmtId="2" fontId="0" fillId="0" borderId="7" xfId="0" applyNumberFormat="1" applyBorder="1"/>
    <xf numFmtId="166" fontId="0" fillId="0" borderId="6" xfId="0" applyNumberFormat="1" applyBorder="1" applyAlignment="1">
      <alignment horizontal="center" vertical="center"/>
    </xf>
    <xf numFmtId="166" fontId="0" fillId="0" borderId="35" xfId="0" applyNumberFormat="1" applyBorder="1" applyAlignment="1">
      <alignment horizontal="center" vertical="center"/>
    </xf>
    <xf numFmtId="166" fontId="0" fillId="0" borderId="35" xfId="0" quotePrefix="1" applyNumberForma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4" fontId="0" fillId="0" borderId="22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1" fontId="0" fillId="0" borderId="22" xfId="0" applyNumberFormat="1" applyBorder="1" applyAlignment="1">
      <alignment horizontal="center"/>
    </xf>
    <xf numFmtId="11" fontId="0" fillId="0" borderId="43" xfId="0" applyNumberFormat="1" applyBorder="1" applyAlignment="1">
      <alignment horizontal="center"/>
    </xf>
    <xf numFmtId="11" fontId="0" fillId="0" borderId="23" xfId="0" applyNumberFormat="1" applyBorder="1" applyAlignment="1">
      <alignment horizontal="center"/>
    </xf>
    <xf numFmtId="165" fontId="0" fillId="0" borderId="22" xfId="0" applyNumberFormat="1" applyBorder="1" applyAlignment="1">
      <alignment horizontal="center" vertical="center"/>
    </xf>
    <xf numFmtId="165" fontId="0" fillId="0" borderId="43" xfId="0" applyNumberFormat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3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2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313526</xdr:colOff>
      <xdr:row>1</xdr:row>
      <xdr:rowOff>86263</xdr:rowOff>
    </xdr:from>
    <xdr:to>
      <xdr:col>24</xdr:col>
      <xdr:colOff>592149</xdr:colOff>
      <xdr:row>19</xdr:row>
      <xdr:rowOff>36841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547345-71F5-458B-BAA9-BA17122B3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7851" y="267418"/>
          <a:ext cx="7110744" cy="3096883"/>
        </a:xfrm>
        <a:prstGeom prst="rect">
          <a:avLst/>
        </a:prstGeom>
      </xdr:spPr>
    </xdr:pic>
    <xdr:clientData/>
  </xdr:twoCellAnchor>
  <xdr:twoCellAnchor editAs="oneCell">
    <xdr:from>
      <xdr:col>14</xdr:col>
      <xdr:colOff>28017</xdr:colOff>
      <xdr:row>18</xdr:row>
      <xdr:rowOff>153084</xdr:rowOff>
    </xdr:from>
    <xdr:to>
      <xdr:col>19</xdr:col>
      <xdr:colOff>335900</xdr:colOff>
      <xdr:row>24</xdr:row>
      <xdr:rowOff>108205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8CD714C-5D21-4691-8CF0-B1C468E3D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3443" y="3413869"/>
          <a:ext cx="3413393" cy="1078352"/>
        </a:xfrm>
        <a:prstGeom prst="rect">
          <a:avLst/>
        </a:prstGeom>
      </xdr:spPr>
    </xdr:pic>
    <xdr:clientData/>
  </xdr:twoCellAnchor>
  <xdr:twoCellAnchor editAs="oneCell">
    <xdr:from>
      <xdr:col>14</xdr:col>
      <xdr:colOff>60384</xdr:colOff>
      <xdr:row>24</xdr:row>
      <xdr:rowOff>164138</xdr:rowOff>
    </xdr:from>
    <xdr:to>
      <xdr:col>21</xdr:col>
      <xdr:colOff>448574</xdr:colOff>
      <xdr:row>45</xdr:row>
      <xdr:rowOff>30925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AE2C7EE-0B20-48EA-B256-F6EE5C954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55810" y="4511851"/>
          <a:ext cx="4735903" cy="36710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314325</xdr:colOff>
      <xdr:row>2</xdr:row>
      <xdr:rowOff>51552</xdr:rowOff>
    </xdr:from>
    <xdr:to>
      <xdr:col>21</xdr:col>
      <xdr:colOff>412505</xdr:colOff>
      <xdr:row>5</xdr:row>
      <xdr:rowOff>191866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67BE60-044D-DFA2-041C-06A4BD6F0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350" y="432552"/>
          <a:ext cx="3146180" cy="712713"/>
        </a:xfrm>
        <a:prstGeom prst="rect">
          <a:avLst/>
        </a:prstGeom>
      </xdr:spPr>
    </xdr:pic>
    <xdr:clientData/>
  </xdr:twoCellAnchor>
  <xdr:twoCellAnchor editAs="oneCell">
    <xdr:from>
      <xdr:col>16</xdr:col>
      <xdr:colOff>312743</xdr:colOff>
      <xdr:row>16</xdr:row>
      <xdr:rowOff>6025</xdr:rowOff>
    </xdr:from>
    <xdr:to>
      <xdr:col>21</xdr:col>
      <xdr:colOff>246534</xdr:colOff>
      <xdr:row>22</xdr:row>
      <xdr:rowOff>167496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16265B6-98B5-99B7-B175-BA1DA4137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90320" y="2982138"/>
          <a:ext cx="3039301" cy="1300158"/>
        </a:xfrm>
        <a:prstGeom prst="rect">
          <a:avLst/>
        </a:prstGeom>
      </xdr:spPr>
    </xdr:pic>
    <xdr:clientData/>
  </xdr:twoCellAnchor>
  <xdr:twoCellAnchor editAs="oneCell">
    <xdr:from>
      <xdr:col>16</xdr:col>
      <xdr:colOff>279587</xdr:colOff>
      <xdr:row>23</xdr:row>
      <xdr:rowOff>72746</xdr:rowOff>
    </xdr:from>
    <xdr:to>
      <xdr:col>22</xdr:col>
      <xdr:colOff>163796</xdr:colOff>
      <xdr:row>25</xdr:row>
      <xdr:rowOff>17613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5336E16-8E59-E058-2336-BB8606D2A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57164" y="4334195"/>
          <a:ext cx="3610821" cy="324429"/>
        </a:xfrm>
        <a:prstGeom prst="rect">
          <a:avLst/>
        </a:prstGeom>
      </xdr:spPr>
    </xdr:pic>
    <xdr:clientData/>
  </xdr:twoCellAnchor>
  <xdr:twoCellAnchor editAs="oneCell">
    <xdr:from>
      <xdr:col>16</xdr:col>
      <xdr:colOff>345057</xdr:colOff>
      <xdr:row>5</xdr:row>
      <xdr:rowOff>207033</xdr:rowOff>
    </xdr:from>
    <xdr:to>
      <xdr:col>27</xdr:col>
      <xdr:colOff>284107</xdr:colOff>
      <xdr:row>16</xdr:row>
      <xdr:rowOff>65194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7DC2D37-CA9C-4830-B9CA-FF2F2C3752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62271"/>
        <a:stretch>
          <a:fillRect/>
        </a:stretch>
      </xdr:blipFill>
      <xdr:spPr>
        <a:xfrm>
          <a:off x="10722634" y="1121433"/>
          <a:ext cx="6771170" cy="1980259"/>
        </a:xfrm>
        <a:prstGeom prst="rect">
          <a:avLst/>
        </a:prstGeom>
      </xdr:spPr>
    </xdr:pic>
    <xdr:clientData/>
  </xdr:twoCellAnchor>
  <xdr:twoCellAnchor editAs="oneCell">
    <xdr:from>
      <xdr:col>6</xdr:col>
      <xdr:colOff>1449904</xdr:colOff>
      <xdr:row>1</xdr:row>
      <xdr:rowOff>144725</xdr:rowOff>
    </xdr:from>
    <xdr:to>
      <xdr:col>12</xdr:col>
      <xdr:colOff>58066</xdr:colOff>
      <xdr:row>3</xdr:row>
      <xdr:rowOff>94891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D09FC7D-939D-41EE-B300-AC11D7DEE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76183" y="325880"/>
          <a:ext cx="3477775" cy="31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469368</xdr:colOff>
      <xdr:row>8</xdr:row>
      <xdr:rowOff>133130</xdr:rowOff>
    </xdr:from>
    <xdr:to>
      <xdr:col>37</xdr:col>
      <xdr:colOff>353578</xdr:colOff>
      <xdr:row>10</xdr:row>
      <xdr:rowOff>91603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AA2D892-BDFD-4600-AFAD-0DE45A450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14168" y="1634126"/>
          <a:ext cx="3610821" cy="324429"/>
        </a:xfrm>
        <a:prstGeom prst="rect">
          <a:avLst/>
        </a:prstGeom>
      </xdr:spPr>
    </xdr:pic>
    <xdr:clientData/>
  </xdr:twoCellAnchor>
  <xdr:twoCellAnchor editAs="oneCell">
    <xdr:from>
      <xdr:col>6</xdr:col>
      <xdr:colOff>1449904</xdr:colOff>
      <xdr:row>1</xdr:row>
      <xdr:rowOff>144725</xdr:rowOff>
    </xdr:from>
    <xdr:to>
      <xdr:col>11</xdr:col>
      <xdr:colOff>654728</xdr:colOff>
      <xdr:row>3</xdr:row>
      <xdr:rowOff>94891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179CA79-22CB-4065-9C32-C9009564F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6183" y="325880"/>
          <a:ext cx="3477775" cy="312475"/>
        </a:xfrm>
        <a:prstGeom prst="rect">
          <a:avLst/>
        </a:prstGeom>
      </xdr:spPr>
    </xdr:pic>
    <xdr:clientData/>
  </xdr:twoCellAnchor>
  <xdr:twoCellAnchor editAs="oneCell">
    <xdr:from>
      <xdr:col>31</xdr:col>
      <xdr:colOff>414069</xdr:colOff>
      <xdr:row>4</xdr:row>
      <xdr:rowOff>34507</xdr:rowOff>
    </xdr:from>
    <xdr:to>
      <xdr:col>37</xdr:col>
      <xdr:colOff>593253</xdr:colOff>
      <xdr:row>7</xdr:row>
      <xdr:rowOff>87975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87E1908-EFD8-40C2-AAD1-F7A01D6D8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58869" y="759126"/>
          <a:ext cx="3905795" cy="657317"/>
        </a:xfrm>
        <a:prstGeom prst="rect">
          <a:avLst/>
        </a:prstGeom>
      </xdr:spPr>
    </xdr:pic>
    <xdr:clientData/>
  </xdr:twoCellAnchor>
  <xdr:twoCellAnchor editAs="oneCell">
    <xdr:from>
      <xdr:col>24</xdr:col>
      <xdr:colOff>34505</xdr:colOff>
      <xdr:row>20</xdr:row>
      <xdr:rowOff>155274</xdr:rowOff>
    </xdr:from>
    <xdr:to>
      <xdr:col>32</xdr:col>
      <xdr:colOff>418837</xdr:colOff>
      <xdr:row>23</xdr:row>
      <xdr:rowOff>17870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D13CFD46-BECE-708E-9C4B-FB2BCEB68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31592" y="3864632"/>
          <a:ext cx="5353147" cy="405444"/>
        </a:xfrm>
        <a:prstGeom prst="rect">
          <a:avLst/>
        </a:prstGeom>
      </xdr:spPr>
    </xdr:pic>
    <xdr:clientData/>
  </xdr:twoCellAnchor>
  <xdr:twoCellAnchor editAs="oneCell">
    <xdr:from>
      <xdr:col>24</xdr:col>
      <xdr:colOff>497308</xdr:colOff>
      <xdr:row>9</xdr:row>
      <xdr:rowOff>1861</xdr:rowOff>
    </xdr:from>
    <xdr:to>
      <xdr:col>31</xdr:col>
      <xdr:colOff>336162</xdr:colOff>
      <xdr:row>19</xdr:row>
      <xdr:rowOff>97110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C8099AFD-77FA-FB83-6CD8-2ABF3CA65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57779" y="1738773"/>
          <a:ext cx="4623765" cy="1904999"/>
        </a:xfrm>
        <a:prstGeom prst="rect">
          <a:avLst/>
        </a:prstGeom>
      </xdr:spPr>
    </xdr:pic>
    <xdr:clientData/>
  </xdr:twoCellAnchor>
  <xdr:twoCellAnchor editAs="oneCell">
    <xdr:from>
      <xdr:col>25</xdr:col>
      <xdr:colOff>66772</xdr:colOff>
      <xdr:row>2</xdr:row>
      <xdr:rowOff>176732</xdr:rowOff>
    </xdr:from>
    <xdr:to>
      <xdr:col>31</xdr:col>
      <xdr:colOff>249996</xdr:colOff>
      <xdr:row>7</xdr:row>
      <xdr:rowOff>171570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FE0029DE-1D5A-422A-3C2A-C0A7FB443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410801" y="535320"/>
          <a:ext cx="4284578" cy="992162"/>
        </a:xfrm>
        <a:prstGeom prst="rect">
          <a:avLst/>
        </a:prstGeom>
      </xdr:spPr>
    </xdr:pic>
    <xdr:clientData/>
  </xdr:twoCellAnchor>
  <xdr:twoCellAnchor editAs="oneCell">
    <xdr:from>
      <xdr:col>32</xdr:col>
      <xdr:colOff>121044</xdr:colOff>
      <xdr:row>24</xdr:row>
      <xdr:rowOff>142814</xdr:rowOff>
    </xdr:from>
    <xdr:to>
      <xdr:col>37</xdr:col>
      <xdr:colOff>428930</xdr:colOff>
      <xdr:row>30</xdr:row>
      <xdr:rowOff>152362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2AC95DA-EB4A-428E-8E6A-1D0B2F914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199008" y="4728421"/>
          <a:ext cx="3709672" cy="1098119"/>
        </a:xfrm>
        <a:prstGeom prst="rect">
          <a:avLst/>
        </a:prstGeom>
      </xdr:spPr>
    </xdr:pic>
    <xdr:clientData/>
  </xdr:twoCellAnchor>
  <xdr:twoCellAnchor editAs="oneCell">
    <xdr:from>
      <xdr:col>32</xdr:col>
      <xdr:colOff>121352</xdr:colOff>
      <xdr:row>30</xdr:row>
      <xdr:rowOff>23820</xdr:rowOff>
    </xdr:from>
    <xdr:to>
      <xdr:col>39</xdr:col>
      <xdr:colOff>515816</xdr:colOff>
      <xdr:row>50</xdr:row>
      <xdr:rowOff>132479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78B2318-EEDF-4C88-A43B-C010DCD135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-2885" b="-1"/>
        <a:stretch>
          <a:fillRect/>
        </a:stretch>
      </xdr:blipFill>
      <xdr:spPr>
        <a:xfrm>
          <a:off x="25199316" y="5752427"/>
          <a:ext cx="5156964" cy="3782588"/>
        </a:xfrm>
        <a:prstGeom prst="rect">
          <a:avLst/>
        </a:prstGeom>
      </xdr:spPr>
    </xdr:pic>
    <xdr:clientData/>
  </xdr:twoCellAnchor>
  <xdr:oneCellAnchor>
    <xdr:from>
      <xdr:col>23</xdr:col>
      <xdr:colOff>258792</xdr:colOff>
      <xdr:row>5</xdr:row>
      <xdr:rowOff>30192</xdr:rowOff>
    </xdr:from>
    <xdr:ext cx="109838" cy="1795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1401F025-8D8E-A217-DCF3-704977506124}"/>
                </a:ext>
              </a:extLst>
            </xdr:cNvPr>
            <xdr:cNvSpPr txBox="1"/>
          </xdr:nvSpPr>
          <xdr:spPr>
            <a:xfrm>
              <a:off x="19305917" y="953218"/>
              <a:ext cx="109838" cy="179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pt-PT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PT" sz="1100" i="1">
                            <a:latin typeface="Cambria Math" panose="02040503050406030204" pitchFamily="18" charset="0"/>
                          </a:rPr>
                          <m:t>𝜃</m:t>
                        </m:r>
                      </m:e>
                    </m:acc>
                  </m:oMath>
                </m:oMathPara>
              </a14:m>
              <a:endParaRPr lang="pt-PT" sz="1100"/>
            </a:p>
          </xdr:txBody>
        </xdr:sp>
      </mc:Choice>
      <mc:Fallback xmlns="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1401F025-8D8E-A217-DCF3-704977506124}"/>
                </a:ext>
              </a:extLst>
            </xdr:cNvPr>
            <xdr:cNvSpPr txBox="1"/>
          </xdr:nvSpPr>
          <xdr:spPr>
            <a:xfrm>
              <a:off x="19305917" y="953218"/>
              <a:ext cx="109838" cy="179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PT" sz="1100" i="0">
                  <a:latin typeface="Cambria Math" panose="02040503050406030204" pitchFamily="18" charset="0"/>
                </a:rPr>
                <a:t>𝜃 ̅</a:t>
              </a:r>
              <a:endParaRPr lang="pt-PT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103517</xdr:colOff>
      <xdr:row>2</xdr:row>
      <xdr:rowOff>60385</xdr:rowOff>
    </xdr:from>
    <xdr:to>
      <xdr:col>4</xdr:col>
      <xdr:colOff>158797</xdr:colOff>
      <xdr:row>5</xdr:row>
      <xdr:rowOff>164534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1424324-9FEB-BE40-7B19-16D40D469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619" y="431321"/>
          <a:ext cx="2048161" cy="666843"/>
        </a:xfrm>
        <a:prstGeom prst="rect">
          <a:avLst/>
        </a:prstGeom>
      </xdr:spPr>
    </xdr:pic>
    <xdr:clientData/>
  </xdr:twoCellAnchor>
  <xdr:twoCellAnchor editAs="oneCell">
    <xdr:from>
      <xdr:col>1</xdr:col>
      <xdr:colOff>103517</xdr:colOff>
      <xdr:row>5</xdr:row>
      <xdr:rowOff>103516</xdr:rowOff>
    </xdr:from>
    <xdr:to>
      <xdr:col>9</xdr:col>
      <xdr:colOff>110030</xdr:colOff>
      <xdr:row>7</xdr:row>
      <xdr:rowOff>102319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82D6158-49B1-01D4-6DCD-244E6E161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4619" y="1017916"/>
          <a:ext cx="5458587" cy="438211"/>
        </a:xfrm>
        <a:prstGeom prst="rect">
          <a:avLst/>
        </a:prstGeom>
      </xdr:spPr>
    </xdr:pic>
    <xdr:clientData/>
  </xdr:twoCellAnchor>
  <xdr:twoCellAnchor editAs="oneCell">
    <xdr:from>
      <xdr:col>17</xdr:col>
      <xdr:colOff>148446</xdr:colOff>
      <xdr:row>2</xdr:row>
      <xdr:rowOff>78537</xdr:rowOff>
    </xdr:from>
    <xdr:to>
      <xdr:col>20</xdr:col>
      <xdr:colOff>18943</xdr:colOff>
      <xdr:row>5</xdr:row>
      <xdr:rowOff>173160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F0DA7B2-2C4F-7D22-A69B-CB3BD2DAE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07046" y="469062"/>
          <a:ext cx="1775497" cy="666123"/>
        </a:xfrm>
        <a:prstGeom prst="rect">
          <a:avLst/>
        </a:prstGeom>
      </xdr:spPr>
    </xdr:pic>
    <xdr:clientData/>
  </xdr:twoCellAnchor>
  <xdr:twoCellAnchor editAs="oneCell">
    <xdr:from>
      <xdr:col>11</xdr:col>
      <xdr:colOff>224286</xdr:colOff>
      <xdr:row>3</xdr:row>
      <xdr:rowOff>69012</xdr:rowOff>
    </xdr:from>
    <xdr:to>
      <xdr:col>14</xdr:col>
      <xdr:colOff>540548</xdr:colOff>
      <xdr:row>5</xdr:row>
      <xdr:rowOff>49654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D0965B6-1168-5001-9946-7697CFF6B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77509" y="612476"/>
          <a:ext cx="2286319" cy="362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103517</xdr:colOff>
      <xdr:row>3</xdr:row>
      <xdr:rowOff>43133</xdr:rowOff>
    </xdr:from>
    <xdr:to>
      <xdr:col>25</xdr:col>
      <xdr:colOff>78810</xdr:colOff>
      <xdr:row>5</xdr:row>
      <xdr:rowOff>147617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8BFAA5D-2487-FD5F-1432-03EC30A9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631064" y="586597"/>
          <a:ext cx="1962424" cy="4858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8627</xdr:colOff>
      <xdr:row>7</xdr:row>
      <xdr:rowOff>8626</xdr:rowOff>
    </xdr:from>
    <xdr:to>
      <xdr:col>10</xdr:col>
      <xdr:colOff>288820</xdr:colOff>
      <xdr:row>12</xdr:row>
      <xdr:rowOff>11087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930901-AB8B-C785-9D5C-3508AB8AC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2370" y="1328468"/>
          <a:ext cx="5249008" cy="908234"/>
        </a:xfrm>
        <a:prstGeom prst="rect">
          <a:avLst/>
        </a:prstGeom>
      </xdr:spPr>
    </xdr:pic>
    <xdr:clientData/>
  </xdr:twoCellAnchor>
  <xdr:oneCellAnchor>
    <xdr:from>
      <xdr:col>1</xdr:col>
      <xdr:colOff>258792</xdr:colOff>
      <xdr:row>3</xdr:row>
      <xdr:rowOff>8626</xdr:rowOff>
    </xdr:from>
    <xdr:ext cx="109838" cy="1795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71484410-6491-4286-8D40-7FC8285D11E6}"/>
                </a:ext>
              </a:extLst>
            </xdr:cNvPr>
            <xdr:cNvSpPr txBox="1"/>
          </xdr:nvSpPr>
          <xdr:spPr>
            <a:xfrm>
              <a:off x="879894" y="552090"/>
              <a:ext cx="109838" cy="179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pt-PT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PT" sz="1100" i="1">
                            <a:latin typeface="Cambria Math" panose="02040503050406030204" pitchFamily="18" charset="0"/>
                          </a:rPr>
                          <m:t>𝜃</m:t>
                        </m:r>
                      </m:e>
                    </m:acc>
                  </m:oMath>
                </m:oMathPara>
              </a14:m>
              <a:endParaRPr lang="pt-PT" sz="1100"/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71484410-6491-4286-8D40-7FC8285D11E6}"/>
                </a:ext>
              </a:extLst>
            </xdr:cNvPr>
            <xdr:cNvSpPr txBox="1"/>
          </xdr:nvSpPr>
          <xdr:spPr>
            <a:xfrm>
              <a:off x="879894" y="552090"/>
              <a:ext cx="109838" cy="179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PT" sz="1100" i="0">
                  <a:latin typeface="Cambria Math" panose="02040503050406030204" pitchFamily="18" charset="0"/>
                </a:rPr>
                <a:t>𝜃 ̅</a:t>
              </a:r>
              <a:endParaRPr lang="pt-PT" sz="1100"/>
            </a:p>
          </xdr:txBody>
        </xdr:sp>
      </mc:Fallback>
    </mc:AlternateContent>
    <xdr:clientData/>
  </xdr:oneCellAnchor>
  <xdr:twoCellAnchor editAs="oneCell">
    <xdr:from>
      <xdr:col>2</xdr:col>
      <xdr:colOff>345056</xdr:colOff>
      <xdr:row>22</xdr:row>
      <xdr:rowOff>69010</xdr:rowOff>
    </xdr:from>
    <xdr:to>
      <xdr:col>13</xdr:col>
      <xdr:colOff>381419</xdr:colOff>
      <xdr:row>27</xdr:row>
      <xdr:rowOff>39658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8221F99-710E-6B19-ACF9-D1C17B67B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7260" y="3925018"/>
          <a:ext cx="6868484" cy="8764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77637</xdr:colOff>
      <xdr:row>0</xdr:row>
      <xdr:rowOff>163902</xdr:rowOff>
    </xdr:from>
    <xdr:to>
      <xdr:col>9</xdr:col>
      <xdr:colOff>540011</xdr:colOff>
      <xdr:row>4</xdr:row>
      <xdr:rowOff>115652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509C3CF-F938-8469-E13A-274376ACB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739" y="163902"/>
          <a:ext cx="6173061" cy="676369"/>
        </a:xfrm>
        <a:prstGeom prst="rect">
          <a:avLst/>
        </a:prstGeom>
      </xdr:spPr>
    </xdr:pic>
    <xdr:clientData/>
  </xdr:twoCellAnchor>
  <xdr:twoCellAnchor editAs="oneCell">
    <xdr:from>
      <xdr:col>11</xdr:col>
      <xdr:colOff>396814</xdr:colOff>
      <xdr:row>0</xdr:row>
      <xdr:rowOff>94891</xdr:rowOff>
    </xdr:from>
    <xdr:to>
      <xdr:col>14</xdr:col>
      <xdr:colOff>179610</xdr:colOff>
      <xdr:row>2</xdr:row>
      <xdr:rowOff>85056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0AA844D-D0B5-09F3-C61D-5ECBD913B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9048" y="94891"/>
          <a:ext cx="1810003" cy="352474"/>
        </a:xfrm>
        <a:prstGeom prst="rect">
          <a:avLst/>
        </a:prstGeom>
      </xdr:spPr>
    </xdr:pic>
    <xdr:clientData/>
  </xdr:twoCellAnchor>
  <xdr:twoCellAnchor editAs="oneCell">
    <xdr:from>
      <xdr:col>11</xdr:col>
      <xdr:colOff>362309</xdr:colOff>
      <xdr:row>2</xdr:row>
      <xdr:rowOff>103517</xdr:rowOff>
    </xdr:from>
    <xdr:to>
      <xdr:col>14</xdr:col>
      <xdr:colOff>2210</xdr:colOff>
      <xdr:row>4</xdr:row>
      <xdr:rowOff>65102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4BF60B9-F8E7-C93A-1BE5-2720BC749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84543" y="465826"/>
          <a:ext cx="1667108" cy="323895"/>
        </a:xfrm>
        <a:prstGeom prst="rect">
          <a:avLst/>
        </a:prstGeom>
      </xdr:spPr>
    </xdr:pic>
    <xdr:clientData/>
  </xdr:twoCellAnchor>
  <xdr:oneCellAnchor>
    <xdr:from>
      <xdr:col>5</xdr:col>
      <xdr:colOff>258792</xdr:colOff>
      <xdr:row>6</xdr:row>
      <xdr:rowOff>8626</xdr:rowOff>
    </xdr:from>
    <xdr:ext cx="109838" cy="1795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A01F8E40-BA8F-490C-BBAA-B247E5A632CC}"/>
                </a:ext>
              </a:extLst>
            </xdr:cNvPr>
            <xdr:cNvSpPr txBox="1"/>
          </xdr:nvSpPr>
          <xdr:spPr>
            <a:xfrm>
              <a:off x="879894" y="560717"/>
              <a:ext cx="109838" cy="179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pt-PT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PT" sz="1100" i="1">
                            <a:latin typeface="Cambria Math" panose="02040503050406030204" pitchFamily="18" charset="0"/>
                          </a:rPr>
                          <m:t>𝜃</m:t>
                        </m:r>
                      </m:e>
                    </m:acc>
                  </m:oMath>
                </m:oMathPara>
              </a14:m>
              <a:endParaRPr lang="pt-PT" sz="11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A01F8E40-BA8F-490C-BBAA-B247E5A632CC}"/>
                </a:ext>
              </a:extLst>
            </xdr:cNvPr>
            <xdr:cNvSpPr txBox="1"/>
          </xdr:nvSpPr>
          <xdr:spPr>
            <a:xfrm>
              <a:off x="879894" y="560717"/>
              <a:ext cx="109838" cy="179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PT" sz="1100" i="0">
                  <a:latin typeface="Cambria Math" panose="02040503050406030204" pitchFamily="18" charset="0"/>
                </a:rPr>
                <a:t>𝜃 ̅</a:t>
              </a:r>
              <a:endParaRPr lang="pt-PT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3343-30BA-4D18-82FB-E728DCD2CA0C}">
  <dimension ref="B3:K29"/>
  <sheetViews>
    <sheetView workbookViewId="0">
      <selection activeCell="C21" sqref="C21"/>
    </sheetView>
  </sheetViews>
  <sheetFormatPr defaultRowHeight="14.3" x14ac:dyDescent="0.25"/>
  <cols>
    <col min="3" max="3" width="11" bestFit="1" customWidth="1"/>
    <col min="7" max="7" width="10.875" bestFit="1" customWidth="1"/>
    <col min="8" max="8" width="13.125" bestFit="1" customWidth="1"/>
    <col min="9" max="10" width="11.875" bestFit="1" customWidth="1"/>
  </cols>
  <sheetData>
    <row r="3" spans="2:9" x14ac:dyDescent="0.25">
      <c r="B3" s="19"/>
      <c r="C3" s="20" t="s">
        <v>94</v>
      </c>
      <c r="D3" s="21" t="s">
        <v>95</v>
      </c>
      <c r="E3" s="21" t="s">
        <v>96</v>
      </c>
      <c r="F3" s="21" t="s">
        <v>97</v>
      </c>
      <c r="G3" s="21" t="s">
        <v>98</v>
      </c>
      <c r="H3" s="21" t="s">
        <v>99</v>
      </c>
      <c r="I3" s="21" t="s">
        <v>100</v>
      </c>
    </row>
    <row r="4" spans="2:9" x14ac:dyDescent="0.25">
      <c r="B4" s="22" t="s">
        <v>82</v>
      </c>
      <c r="C4" s="23" t="s">
        <v>101</v>
      </c>
      <c r="D4" s="23"/>
      <c r="E4" s="23"/>
      <c r="F4" s="23"/>
      <c r="G4" s="23"/>
      <c r="H4" s="23"/>
      <c r="I4" s="23"/>
    </row>
    <row r="5" spans="2:9" x14ac:dyDescent="0.25">
      <c r="B5" s="21" t="s">
        <v>83</v>
      </c>
      <c r="C5" s="23">
        <v>8735</v>
      </c>
      <c r="D5" s="23">
        <v>22.689</v>
      </c>
      <c r="E5" s="23">
        <v>11720</v>
      </c>
      <c r="F5" s="23">
        <v>9.7800000000000005E-3</v>
      </c>
      <c r="G5" s="23">
        <v>9306</v>
      </c>
      <c r="H5" s="23">
        <v>3.6319999999999998E-3</v>
      </c>
      <c r="I5" s="23"/>
    </row>
    <row r="6" spans="2:9" x14ac:dyDescent="0.25">
      <c r="B6" s="21" t="s">
        <v>84</v>
      </c>
      <c r="C6" s="23">
        <v>2.7924999999999998E-2</v>
      </c>
      <c r="D6" s="23">
        <v>6.6577000000000002</v>
      </c>
      <c r="E6" s="23">
        <v>2.8544E-2</v>
      </c>
      <c r="F6" s="23">
        <v>2.4550000000000002E-3</v>
      </c>
      <c r="G6" s="23">
        <f>6.851*10^-5</f>
        <v>6.8510000000000006E-5</v>
      </c>
      <c r="H6" s="23">
        <v>12.275499999999999</v>
      </c>
      <c r="I6" s="23"/>
    </row>
    <row r="7" spans="2:9" x14ac:dyDescent="0.25">
      <c r="B7" s="21" t="s">
        <v>85</v>
      </c>
      <c r="C7" s="23">
        <v>247970</v>
      </c>
      <c r="D7" s="23">
        <v>23.289000000000001</v>
      </c>
      <c r="E7" s="23">
        <v>374655</v>
      </c>
      <c r="F7" s="23">
        <v>1.91E-3</v>
      </c>
      <c r="G7" s="23">
        <v>258552</v>
      </c>
      <c r="H7" s="23"/>
      <c r="I7" s="23"/>
    </row>
    <row r="8" spans="2:9" x14ac:dyDescent="0.25">
      <c r="B8" s="21" t="s">
        <v>86</v>
      </c>
      <c r="C8" s="23">
        <v>5.4817999999999999E-2</v>
      </c>
      <c r="D8" s="23">
        <v>21.032</v>
      </c>
      <c r="E8" s="23">
        <v>0.63729999999999998</v>
      </c>
      <c r="F8" s="23">
        <v>7.9100000000000004E-2</v>
      </c>
      <c r="G8" s="23">
        <f>5.425*10^-4</f>
        <v>5.4250000000000001E-4</v>
      </c>
      <c r="H8" s="23"/>
      <c r="I8" s="23"/>
    </row>
    <row r="9" spans="2:9" x14ac:dyDescent="0.25">
      <c r="B9" s="21" t="s">
        <v>87</v>
      </c>
      <c r="C9" s="23">
        <v>39006</v>
      </c>
      <c r="D9" s="23">
        <v>15002330</v>
      </c>
      <c r="E9" s="23">
        <v>2009.24</v>
      </c>
      <c r="F9" s="23">
        <v>1.1809999999999999E-2</v>
      </c>
      <c r="G9" s="23">
        <v>3.1459999999999999</v>
      </c>
      <c r="H9" s="23">
        <v>16.741700000000002</v>
      </c>
      <c r="I9" s="23">
        <v>3727</v>
      </c>
    </row>
    <row r="10" spans="2:9" x14ac:dyDescent="0.25">
      <c r="B10" s="21" t="s">
        <v>88</v>
      </c>
      <c r="C10" s="23">
        <f>6.031*10^-5</f>
        <v>6.0310000000000004E-5</v>
      </c>
      <c r="D10" s="23">
        <v>95.5</v>
      </c>
      <c r="E10" s="23">
        <v>1.3826000000000001E-3</v>
      </c>
      <c r="F10" s="23"/>
      <c r="G10" s="23"/>
      <c r="H10" s="23"/>
      <c r="I10" s="23"/>
    </row>
    <row r="11" spans="2:9" x14ac:dyDescent="0.25">
      <c r="B11" s="21" t="s">
        <v>89</v>
      </c>
      <c r="C11" s="23">
        <v>11747</v>
      </c>
      <c r="D11" s="23">
        <v>55.033000000000001</v>
      </c>
      <c r="E11" s="23">
        <v>4521</v>
      </c>
      <c r="F11" s="23">
        <v>1.9980000000000001E-2</v>
      </c>
      <c r="G11" s="23">
        <v>6.0400000000000002E-3</v>
      </c>
      <c r="H11" s="23">
        <v>3347.4</v>
      </c>
      <c r="I11" s="23">
        <v>4.7499999999999999E-3</v>
      </c>
    </row>
    <row r="12" spans="2:9" x14ac:dyDescent="0.25">
      <c r="B12" s="21" t="s">
        <v>90</v>
      </c>
      <c r="C12" s="23">
        <v>1.5429999999999999E-2</v>
      </c>
      <c r="D12" s="23">
        <v>13.29</v>
      </c>
      <c r="E12" s="23">
        <v>1.8069999999999999E-2</v>
      </c>
      <c r="F12" s="23">
        <v>1.1000000000000001E-3</v>
      </c>
      <c r="G12" s="23">
        <f>8.81*10^-5</f>
        <v>8.8100000000000014E-5</v>
      </c>
      <c r="H12" s="23">
        <v>4.0500000000000001E-2</v>
      </c>
      <c r="I12" s="23">
        <v>26.74</v>
      </c>
    </row>
    <row r="13" spans="2:9" x14ac:dyDescent="0.25">
      <c r="B13" s="21" t="s">
        <v>91</v>
      </c>
      <c r="C13" s="23">
        <v>0.49220000000000003</v>
      </c>
      <c r="D13" s="23">
        <v>0.86</v>
      </c>
      <c r="E13" s="23"/>
      <c r="F13" s="23"/>
      <c r="G13" s="23"/>
      <c r="H13" s="23"/>
      <c r="I13" s="23"/>
    </row>
    <row r="14" spans="2:9" x14ac:dyDescent="0.25">
      <c r="B14" s="21" t="s">
        <v>92</v>
      </c>
      <c r="C14" s="23">
        <v>0.17</v>
      </c>
      <c r="D14" s="23">
        <v>0.41</v>
      </c>
      <c r="E14" s="23">
        <v>9.25</v>
      </c>
      <c r="F14" s="23"/>
      <c r="G14" s="23"/>
      <c r="H14" s="23"/>
      <c r="I14" s="23"/>
    </row>
    <row r="15" spans="2:9" x14ac:dyDescent="0.25">
      <c r="B15" s="21" t="s">
        <v>93</v>
      </c>
      <c r="C15" s="23">
        <v>8.3209999999999997</v>
      </c>
      <c r="D15" s="23">
        <v>0.14249000000000001</v>
      </c>
      <c r="E15" s="23">
        <v>0.96655000000000002</v>
      </c>
      <c r="F15" s="23">
        <v>0.01</v>
      </c>
      <c r="G15" s="23">
        <v>20</v>
      </c>
      <c r="H15" s="23">
        <v>4.2900000000000001E-2</v>
      </c>
      <c r="I15" s="23"/>
    </row>
    <row r="20" spans="2:11" ht="17.7" x14ac:dyDescent="0.35">
      <c r="B20" t="s">
        <v>102</v>
      </c>
      <c r="C20" t="s">
        <v>106</v>
      </c>
      <c r="D20" t="s">
        <v>103</v>
      </c>
      <c r="E20" t="s">
        <v>108</v>
      </c>
      <c r="F20" t="s">
        <v>104</v>
      </c>
      <c r="G20" t="s">
        <v>105</v>
      </c>
      <c r="H20" t="s">
        <v>107</v>
      </c>
      <c r="I20" s="24" t="s">
        <v>112</v>
      </c>
      <c r="J20" s="24" t="s">
        <v>111</v>
      </c>
      <c r="K20" t="s">
        <v>91</v>
      </c>
    </row>
    <row r="21" spans="2:11" x14ac:dyDescent="0.25">
      <c r="B21">
        <v>0.5</v>
      </c>
      <c r="C21">
        <f>B21*4.4</f>
        <v>2.2000000000000002</v>
      </c>
      <c r="D21">
        <f>AVERAGE(D26:D29)</f>
        <v>1001.4250000000001</v>
      </c>
      <c r="E21">
        <f>D21</f>
        <v>1001.4250000000001</v>
      </c>
      <c r="F21">
        <f>AVERAGE(F26:F29)</f>
        <v>24.375</v>
      </c>
      <c r="G21">
        <f>AVERAGE(G26:G29)</f>
        <v>41.75</v>
      </c>
      <c r="H21">
        <v>9.2850000000000001</v>
      </c>
      <c r="I21">
        <f>18/9.81</f>
        <v>1.8348623853211008</v>
      </c>
      <c r="J21">
        <f>1</f>
        <v>1</v>
      </c>
      <c r="K21">
        <f>C13/(D13-EXP(-E21/1013))</f>
        <v>1.0088279766499177</v>
      </c>
    </row>
    <row r="26" spans="2:11" x14ac:dyDescent="0.25">
      <c r="C26" t="s">
        <v>173</v>
      </c>
      <c r="D26">
        <v>1002</v>
      </c>
      <c r="F26">
        <v>21.9</v>
      </c>
      <c r="G26">
        <v>46.9</v>
      </c>
    </row>
    <row r="27" spans="2:11" x14ac:dyDescent="0.25">
      <c r="C27" t="s">
        <v>172</v>
      </c>
      <c r="D27">
        <v>1001.4</v>
      </c>
      <c r="F27">
        <v>24</v>
      </c>
      <c r="G27">
        <v>42.3</v>
      </c>
    </row>
    <row r="28" spans="2:11" x14ac:dyDescent="0.25">
      <c r="C28" t="s">
        <v>174</v>
      </c>
      <c r="D28">
        <v>1001.2</v>
      </c>
      <c r="F28">
        <v>27.3</v>
      </c>
      <c r="G28">
        <v>36.799999999999997</v>
      </c>
    </row>
    <row r="29" spans="2:11" x14ac:dyDescent="0.25">
      <c r="C29" t="s">
        <v>175</v>
      </c>
      <c r="D29">
        <v>1001.1</v>
      </c>
      <c r="F29">
        <v>24.3</v>
      </c>
      <c r="G29">
        <v>41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DF30-38B4-46AD-9C96-315AA5046237}">
  <dimension ref="A3:AB47"/>
  <sheetViews>
    <sheetView zoomScaleNormal="100" workbookViewId="0">
      <pane xSplit="1" topLeftCell="F1" activePane="topRight" state="frozen"/>
      <selection pane="topRight" activeCell="Y6" sqref="Y6:Y47"/>
    </sheetView>
  </sheetViews>
  <sheetFormatPr defaultRowHeight="14.3" x14ac:dyDescent="0.25"/>
  <cols>
    <col min="5" max="5" width="15.625" bestFit="1" customWidth="1"/>
    <col min="6" max="19" width="15.875" customWidth="1"/>
    <col min="20" max="20" width="22.375" customWidth="1"/>
  </cols>
  <sheetData>
    <row r="3" spans="1:28" ht="14.95" thickBot="1" x14ac:dyDescent="0.3"/>
    <row r="4" spans="1:28" ht="17.7" thickBot="1" x14ac:dyDescent="0.4">
      <c r="F4" s="94" t="s">
        <v>44</v>
      </c>
      <c r="G4" s="95"/>
      <c r="H4" s="94" t="s">
        <v>45</v>
      </c>
      <c r="I4" s="95"/>
      <c r="J4" s="94" t="s">
        <v>46</v>
      </c>
      <c r="K4" s="95"/>
      <c r="L4" s="94" t="s">
        <v>47</v>
      </c>
      <c r="M4" s="95"/>
      <c r="N4" s="94" t="s">
        <v>48</v>
      </c>
      <c r="O4" s="95"/>
      <c r="P4" s="94" t="s">
        <v>53</v>
      </c>
      <c r="Q4" s="95"/>
      <c r="R4" s="94" t="s">
        <v>51</v>
      </c>
      <c r="S4" s="95"/>
      <c r="T4" s="105" t="s">
        <v>52</v>
      </c>
      <c r="U4" s="94" t="s">
        <v>115</v>
      </c>
      <c r="V4" s="95"/>
      <c r="W4" s="96" t="s">
        <v>114</v>
      </c>
      <c r="X4" s="97"/>
      <c r="Y4" s="98"/>
      <c r="Z4" s="47" t="s">
        <v>122</v>
      </c>
      <c r="AA4" s="46"/>
      <c r="AB4" s="46"/>
    </row>
    <row r="5" spans="1:28" ht="14.95" thickBot="1" x14ac:dyDescent="0.3">
      <c r="A5" s="15" t="s">
        <v>81</v>
      </c>
      <c r="B5" s="15" t="s">
        <v>54</v>
      </c>
      <c r="C5" s="1" t="s">
        <v>1</v>
      </c>
      <c r="D5" s="5" t="s">
        <v>0</v>
      </c>
      <c r="E5" s="6" t="s">
        <v>2</v>
      </c>
      <c r="F5" s="13" t="s">
        <v>49</v>
      </c>
      <c r="G5" s="14" t="s">
        <v>50</v>
      </c>
      <c r="H5" s="13" t="s">
        <v>49</v>
      </c>
      <c r="I5" s="14" t="s">
        <v>50</v>
      </c>
      <c r="J5" s="13" t="s">
        <v>49</v>
      </c>
      <c r="K5" s="14" t="s">
        <v>50</v>
      </c>
      <c r="L5" s="13" t="s">
        <v>49</v>
      </c>
      <c r="M5" s="14" t="s">
        <v>50</v>
      </c>
      <c r="N5" s="13" t="s">
        <v>49</v>
      </c>
      <c r="O5" s="14" t="s">
        <v>50</v>
      </c>
      <c r="P5" s="13" t="s">
        <v>49</v>
      </c>
      <c r="Q5" s="14" t="s">
        <v>50</v>
      </c>
      <c r="R5" s="13" t="s">
        <v>49</v>
      </c>
      <c r="S5" s="14" t="s">
        <v>50</v>
      </c>
      <c r="T5" s="106"/>
      <c r="U5" s="13" t="s">
        <v>49</v>
      </c>
      <c r="V5" s="14" t="s">
        <v>50</v>
      </c>
      <c r="W5" s="13" t="s">
        <v>49</v>
      </c>
      <c r="X5" s="29" t="s">
        <v>50</v>
      </c>
      <c r="Y5" s="33" t="s">
        <v>113</v>
      </c>
      <c r="Z5" s="48">
        <f>AVERAGE(Y6:Y47)</f>
        <v>24.25643074665248</v>
      </c>
    </row>
    <row r="6" spans="1:28" ht="14.95" thickBot="1" x14ac:dyDescent="0.3">
      <c r="A6" s="16" t="s">
        <v>3</v>
      </c>
      <c r="B6" s="16" t="s">
        <v>55</v>
      </c>
      <c r="C6" s="99">
        <v>2</v>
      </c>
      <c r="D6" s="102">
        <v>1</v>
      </c>
      <c r="E6" s="2">
        <v>5</v>
      </c>
      <c r="F6" s="7">
        <v>10.79</v>
      </c>
      <c r="G6" s="8">
        <v>4.72</v>
      </c>
      <c r="H6" s="7">
        <v>49.29</v>
      </c>
      <c r="I6" s="8">
        <v>18.3</v>
      </c>
      <c r="J6" s="7">
        <v>44.58</v>
      </c>
      <c r="K6" s="8">
        <v>16.66</v>
      </c>
      <c r="L6" s="7">
        <f t="shared" ref="L6:L47" si="0">H6-F6</f>
        <v>38.5</v>
      </c>
      <c r="M6" s="8">
        <f t="shared" ref="M6:M47" si="1">I6-G6</f>
        <v>13.580000000000002</v>
      </c>
      <c r="N6" s="7">
        <f t="shared" ref="N6:N47" si="2">J6-F6</f>
        <v>33.79</v>
      </c>
      <c r="O6" s="8">
        <f t="shared" ref="O6:O47" si="3">K6-G6</f>
        <v>11.940000000000001</v>
      </c>
      <c r="P6" s="7">
        <f t="shared" ref="P6:P47" si="4">L6-N6</f>
        <v>4.7100000000000009</v>
      </c>
      <c r="Q6" s="8">
        <f t="shared" ref="Q6:Q47" si="5">M6-O6</f>
        <v>1.6400000000000006</v>
      </c>
      <c r="R6" s="7">
        <f t="shared" ref="R6:S47" si="6">(P6/N6)*100</f>
        <v>13.939035217519979</v>
      </c>
      <c r="S6" s="8">
        <f t="shared" si="6"/>
        <v>13.735343383584592</v>
      </c>
      <c r="T6" s="8">
        <f>(R6+S6)/2</f>
        <v>13.837189300552286</v>
      </c>
      <c r="U6" s="7">
        <f>P6/N6*100</f>
        <v>13.939035217519979</v>
      </c>
      <c r="V6" s="27">
        <f>Q6/O6*100</f>
        <v>13.735343383584592</v>
      </c>
      <c r="W6" s="7">
        <f>(U6/'Constantes e Funções Auxiliares'!$J$21)*'Constantes e Funções Auxiliares'!$I$21</f>
        <v>25.576211408293538</v>
      </c>
      <c r="X6" s="30">
        <f>(V6/'Constantes e Funções Auxiliares'!$J$21)*'Constantes e Funções Auxiliares'!$I$21</f>
        <v>25.202464924008424</v>
      </c>
      <c r="Y6" s="27">
        <f>(W6+X6)/2</f>
        <v>25.389338166150981</v>
      </c>
    </row>
    <row r="7" spans="1:28" ht="14.95" thickBot="1" x14ac:dyDescent="0.3">
      <c r="A7" s="17" t="s">
        <v>4</v>
      </c>
      <c r="B7" s="17" t="s">
        <v>56</v>
      </c>
      <c r="C7" s="100"/>
      <c r="D7" s="103"/>
      <c r="E7" s="3">
        <v>15</v>
      </c>
      <c r="F7" s="9">
        <v>10.51</v>
      </c>
      <c r="G7" s="10">
        <v>10.130000000000001</v>
      </c>
      <c r="H7" s="9">
        <v>33.24</v>
      </c>
      <c r="I7" s="10">
        <v>21.36</v>
      </c>
      <c r="J7" s="9">
        <v>30.57</v>
      </c>
      <c r="K7" s="10">
        <v>20.11</v>
      </c>
      <c r="L7" s="9">
        <f t="shared" si="0"/>
        <v>22.730000000000004</v>
      </c>
      <c r="M7" s="10">
        <f t="shared" si="1"/>
        <v>11.229999999999999</v>
      </c>
      <c r="N7" s="9">
        <f t="shared" si="2"/>
        <v>20.060000000000002</v>
      </c>
      <c r="O7" s="10">
        <f t="shared" si="3"/>
        <v>9.9799999999999986</v>
      </c>
      <c r="P7" s="9">
        <f t="shared" si="4"/>
        <v>2.6700000000000017</v>
      </c>
      <c r="Q7" s="10">
        <f t="shared" si="5"/>
        <v>1.25</v>
      </c>
      <c r="R7" s="9">
        <f t="shared" si="6"/>
        <v>13.310069790628123</v>
      </c>
      <c r="S7" s="10">
        <f t="shared" si="6"/>
        <v>12.525050100200403</v>
      </c>
      <c r="T7" s="10">
        <f t="shared" ref="T7:T47" si="7">(R7+S7)/2</f>
        <v>12.917559945414263</v>
      </c>
      <c r="U7" s="7">
        <f t="shared" ref="U7:V47" si="8">P7/N7*100</f>
        <v>13.310069790628123</v>
      </c>
      <c r="V7" s="27">
        <f t="shared" si="8"/>
        <v>12.525050100200403</v>
      </c>
      <c r="W7" s="9">
        <f>(U7/'Constantes e Funções Auxiliares'!$J$21)*'Constantes e Funções Auxiliares'!$I$21</f>
        <v>24.422146404822243</v>
      </c>
      <c r="X7" s="31">
        <f>(V7/'Constantes e Funções Auxiliares'!$J$21)*'Constantes e Funções Auxiliares'!$I$21</f>
        <v>22.981743303120005</v>
      </c>
      <c r="Y7" s="34">
        <f t="shared" ref="Y7:Y47" si="9">(W7+X7)/2</f>
        <v>23.701944853971124</v>
      </c>
    </row>
    <row r="8" spans="1:28" ht="14.95" thickBot="1" x14ac:dyDescent="0.3">
      <c r="A8" s="17" t="s">
        <v>5</v>
      </c>
      <c r="B8" s="17" t="s">
        <v>58</v>
      </c>
      <c r="C8" s="100"/>
      <c r="D8" s="104"/>
      <c r="E8" s="4">
        <v>30</v>
      </c>
      <c r="F8" s="11">
        <v>11.25</v>
      </c>
      <c r="G8" s="12">
        <v>8.31</v>
      </c>
      <c r="H8" s="11">
        <v>67.260000000000005</v>
      </c>
      <c r="I8" s="12">
        <v>30.48</v>
      </c>
      <c r="J8" s="11">
        <v>61.94</v>
      </c>
      <c r="K8" s="12">
        <v>28.34</v>
      </c>
      <c r="L8" s="11">
        <f t="shared" si="0"/>
        <v>56.010000000000005</v>
      </c>
      <c r="M8" s="12">
        <f t="shared" si="1"/>
        <v>22.17</v>
      </c>
      <c r="N8" s="11">
        <f t="shared" si="2"/>
        <v>50.69</v>
      </c>
      <c r="O8" s="12">
        <f t="shared" si="3"/>
        <v>20.03</v>
      </c>
      <c r="P8" s="11">
        <f t="shared" si="4"/>
        <v>5.3200000000000074</v>
      </c>
      <c r="Q8" s="12">
        <f t="shared" si="5"/>
        <v>2.1400000000000006</v>
      </c>
      <c r="R8" s="11">
        <f t="shared" si="6"/>
        <v>10.495166699546276</v>
      </c>
      <c r="S8" s="12">
        <f t="shared" si="6"/>
        <v>10.68397403894159</v>
      </c>
      <c r="T8" s="12">
        <f t="shared" si="7"/>
        <v>10.589570369243933</v>
      </c>
      <c r="U8" s="7">
        <f t="shared" si="8"/>
        <v>10.495166699546276</v>
      </c>
      <c r="V8" s="27">
        <f t="shared" si="8"/>
        <v>10.68397403894159</v>
      </c>
      <c r="W8" s="11">
        <f>(U8/'Constantes e Funções Auxiliares'!$J$21)*'Constantes e Funções Auxiliares'!$I$21</f>
        <v>19.257186604672064</v>
      </c>
      <c r="X8" s="32">
        <f>(V8/'Constantes e Funções Auxiliares'!$J$21)*'Constantes e Funções Auxiliares'!$I$21</f>
        <v>19.603622089801082</v>
      </c>
      <c r="Y8" s="35">
        <f t="shared" si="9"/>
        <v>19.430404347236575</v>
      </c>
    </row>
    <row r="9" spans="1:28" ht="14.95" thickBot="1" x14ac:dyDescent="0.3">
      <c r="A9" s="17" t="s">
        <v>6</v>
      </c>
      <c r="B9" s="17" t="s">
        <v>57</v>
      </c>
      <c r="C9" s="100"/>
      <c r="D9" s="102">
        <v>2</v>
      </c>
      <c r="E9" s="2">
        <v>5</v>
      </c>
      <c r="F9" s="7">
        <v>24.03</v>
      </c>
      <c r="G9" s="8">
        <v>4.49</v>
      </c>
      <c r="H9" s="7">
        <v>68.11</v>
      </c>
      <c r="I9" s="8">
        <v>17.66</v>
      </c>
      <c r="J9" s="7">
        <v>63.08</v>
      </c>
      <c r="K9" s="8">
        <v>16.13</v>
      </c>
      <c r="L9" s="7">
        <f t="shared" si="0"/>
        <v>44.08</v>
      </c>
      <c r="M9" s="8">
        <f t="shared" si="1"/>
        <v>13.17</v>
      </c>
      <c r="N9" s="7">
        <f t="shared" si="2"/>
        <v>39.049999999999997</v>
      </c>
      <c r="O9" s="8">
        <f t="shared" si="3"/>
        <v>11.639999999999999</v>
      </c>
      <c r="P9" s="7">
        <f t="shared" si="4"/>
        <v>5.0300000000000011</v>
      </c>
      <c r="Q9" s="8">
        <f t="shared" si="5"/>
        <v>1.5300000000000011</v>
      </c>
      <c r="R9" s="7">
        <f t="shared" si="6"/>
        <v>12.880921895006406</v>
      </c>
      <c r="S9" s="8">
        <f t="shared" si="6"/>
        <v>13.144329896907228</v>
      </c>
      <c r="T9" s="8">
        <f t="shared" si="7"/>
        <v>13.012625895956816</v>
      </c>
      <c r="U9" s="7">
        <f t="shared" si="8"/>
        <v>12.880921895006406</v>
      </c>
      <c r="V9" s="27">
        <f t="shared" si="8"/>
        <v>13.144329896907228</v>
      </c>
      <c r="W9" s="7">
        <f>(U9/'Constantes e Funções Auxiliares'!$J$21)*'Constantes e Funções Auxiliares'!$I$21</f>
        <v>23.634719073406249</v>
      </c>
      <c r="X9" s="30">
        <f>(V9/'Constantes e Funções Auxiliares'!$J$21)*'Constantes e Funções Auxiliares'!$I$21</f>
        <v>24.118036508086657</v>
      </c>
      <c r="Y9" s="27">
        <f t="shared" si="9"/>
        <v>23.876377790746453</v>
      </c>
    </row>
    <row r="10" spans="1:28" ht="14.95" thickBot="1" x14ac:dyDescent="0.3">
      <c r="A10" s="17" t="s">
        <v>7</v>
      </c>
      <c r="B10" s="17" t="s">
        <v>59</v>
      </c>
      <c r="C10" s="100"/>
      <c r="D10" s="103">
        <v>2</v>
      </c>
      <c r="E10" s="3">
        <v>15</v>
      </c>
      <c r="F10" s="9">
        <v>20.23</v>
      </c>
      <c r="G10" s="10">
        <v>4.6900000000000004</v>
      </c>
      <c r="H10" s="9">
        <v>70.52</v>
      </c>
      <c r="I10" s="10">
        <v>21.38</v>
      </c>
      <c r="J10" s="9">
        <v>65.290000000000006</v>
      </c>
      <c r="K10" s="10">
        <v>20.18</v>
      </c>
      <c r="L10" s="9">
        <f t="shared" si="0"/>
        <v>50.289999999999992</v>
      </c>
      <c r="M10" s="10">
        <f t="shared" si="1"/>
        <v>16.689999999999998</v>
      </c>
      <c r="N10" s="9">
        <f t="shared" si="2"/>
        <v>45.06</v>
      </c>
      <c r="O10" s="10">
        <f t="shared" si="3"/>
        <v>15.489999999999998</v>
      </c>
      <c r="P10" s="9">
        <f t="shared" si="4"/>
        <v>5.2299999999999898</v>
      </c>
      <c r="Q10" s="10">
        <f t="shared" si="5"/>
        <v>1.1999999999999993</v>
      </c>
      <c r="R10" s="9">
        <f t="shared" si="6"/>
        <v>11.606746560142009</v>
      </c>
      <c r="S10" s="10">
        <f t="shared" si="6"/>
        <v>7.7469335054874078</v>
      </c>
      <c r="T10" s="10">
        <f t="shared" si="7"/>
        <v>9.6768400328147077</v>
      </c>
      <c r="U10" s="7">
        <f t="shared" si="8"/>
        <v>11.606746560142009</v>
      </c>
      <c r="V10" s="27">
        <f t="shared" si="8"/>
        <v>7.7469335054874078</v>
      </c>
      <c r="W10" s="9">
        <f>(U10/'Constantes e Funções Auxiliares'!$J$21)*'Constantes e Funções Auxiliares'!$I$21</f>
        <v>21.296782679159648</v>
      </c>
      <c r="X10" s="31">
        <f>(V10/'Constantes e Funções Auxiliares'!$J$21)*'Constantes e Funções Auxiliares'!$I$21</f>
        <v>14.214556890802582</v>
      </c>
      <c r="Y10" s="34">
        <f t="shared" si="9"/>
        <v>17.755669784981116</v>
      </c>
    </row>
    <row r="11" spans="1:28" ht="14.95" thickBot="1" x14ac:dyDescent="0.3">
      <c r="A11" s="17" t="s">
        <v>8</v>
      </c>
      <c r="B11" s="17" t="s">
        <v>60</v>
      </c>
      <c r="C11" s="100"/>
      <c r="D11" s="104"/>
      <c r="E11" s="4">
        <v>30</v>
      </c>
      <c r="F11" s="11">
        <v>20.58</v>
      </c>
      <c r="G11" s="12">
        <v>4.6900000000000004</v>
      </c>
      <c r="H11" s="11">
        <v>59.85</v>
      </c>
      <c r="I11" s="12">
        <v>22.43</v>
      </c>
      <c r="J11" s="11">
        <v>55.79</v>
      </c>
      <c r="K11" s="12">
        <v>20.61</v>
      </c>
      <c r="L11" s="11">
        <f t="shared" si="0"/>
        <v>39.270000000000003</v>
      </c>
      <c r="M11" s="12">
        <f t="shared" si="1"/>
        <v>17.739999999999998</v>
      </c>
      <c r="N11" s="11">
        <f t="shared" si="2"/>
        <v>35.21</v>
      </c>
      <c r="O11" s="12">
        <f t="shared" si="3"/>
        <v>15.919999999999998</v>
      </c>
      <c r="P11" s="11">
        <f t="shared" si="4"/>
        <v>4.0600000000000023</v>
      </c>
      <c r="Q11" s="12">
        <f t="shared" si="5"/>
        <v>1.8200000000000003</v>
      </c>
      <c r="R11" s="11">
        <f t="shared" si="6"/>
        <v>11.530815109343942</v>
      </c>
      <c r="S11" s="12">
        <f t="shared" si="6"/>
        <v>11.432160804020103</v>
      </c>
      <c r="T11" s="12">
        <f t="shared" si="7"/>
        <v>11.481487956682024</v>
      </c>
      <c r="U11" s="7">
        <f t="shared" si="8"/>
        <v>11.530815109343942</v>
      </c>
      <c r="V11" s="27">
        <f t="shared" si="8"/>
        <v>11.432160804020103</v>
      </c>
      <c r="W11" s="11">
        <f>(U11/'Constantes e Funções Auxiliares'!$J$21)*'Constantes e Funções Auxiliares'!$I$21</f>
        <v>21.157458916227416</v>
      </c>
      <c r="X11" s="32">
        <f>(V11/'Constantes e Funções Auxiliares'!$J$21)*'Constantes e Funções Auxiliares'!$I$21</f>
        <v>20.976441842238721</v>
      </c>
      <c r="Y11" s="35">
        <f t="shared" si="9"/>
        <v>21.06695037923307</v>
      </c>
    </row>
    <row r="12" spans="1:28" ht="14.95" thickBot="1" x14ac:dyDescent="0.3">
      <c r="A12" s="17" t="s">
        <v>9</v>
      </c>
      <c r="B12" s="17" t="s">
        <v>61</v>
      </c>
      <c r="C12" s="100"/>
      <c r="D12" s="102">
        <v>3</v>
      </c>
      <c r="E12" s="2">
        <v>5</v>
      </c>
      <c r="F12" s="7">
        <v>20.62</v>
      </c>
      <c r="G12" s="8">
        <v>4.54</v>
      </c>
      <c r="H12" s="7">
        <v>59.44</v>
      </c>
      <c r="I12" s="8">
        <v>15.55</v>
      </c>
      <c r="J12" s="7">
        <v>53.38</v>
      </c>
      <c r="K12" s="8">
        <v>13.88</v>
      </c>
      <c r="L12" s="7">
        <f t="shared" si="0"/>
        <v>38.819999999999993</v>
      </c>
      <c r="M12" s="8">
        <f t="shared" si="1"/>
        <v>11.010000000000002</v>
      </c>
      <c r="N12" s="7">
        <f t="shared" si="2"/>
        <v>32.760000000000005</v>
      </c>
      <c r="O12" s="8">
        <f t="shared" si="3"/>
        <v>9.34</v>
      </c>
      <c r="P12" s="7">
        <f t="shared" si="4"/>
        <v>6.0599999999999881</v>
      </c>
      <c r="Q12" s="8">
        <f t="shared" si="5"/>
        <v>1.6700000000000017</v>
      </c>
      <c r="R12" s="7">
        <f t="shared" si="6"/>
        <v>18.498168498168461</v>
      </c>
      <c r="S12" s="8">
        <f t="shared" si="6"/>
        <v>17.880085653104942</v>
      </c>
      <c r="T12" s="8">
        <f t="shared" si="7"/>
        <v>18.189127075636701</v>
      </c>
      <c r="U12" s="7">
        <f t="shared" si="8"/>
        <v>18.498168498168461</v>
      </c>
      <c r="V12" s="27">
        <f t="shared" si="8"/>
        <v>17.880085653104942</v>
      </c>
      <c r="W12" s="7">
        <f>(U12/'Constantes e Funções Auxiliares'!$J$21)*'Constantes e Funções Auxiliares'!$I$21</f>
        <v>33.941593574621024</v>
      </c>
      <c r="X12" s="30">
        <f>(V12/'Constantes e Funções Auxiliares'!$J$21)*'Constantes e Funções Auxiliares'!$I$21</f>
        <v>32.807496611201728</v>
      </c>
      <c r="Y12" s="27">
        <f t="shared" si="9"/>
        <v>33.374545092911376</v>
      </c>
    </row>
    <row r="13" spans="1:28" ht="14.95" thickBot="1" x14ac:dyDescent="0.3">
      <c r="A13" s="17" t="s">
        <v>10</v>
      </c>
      <c r="B13" s="17" t="s">
        <v>62</v>
      </c>
      <c r="C13" s="100"/>
      <c r="D13" s="103">
        <v>3</v>
      </c>
      <c r="E13" s="3">
        <v>15</v>
      </c>
      <c r="F13" s="9">
        <v>10.32</v>
      </c>
      <c r="G13" s="10">
        <v>4.59</v>
      </c>
      <c r="H13" s="9">
        <v>61.23</v>
      </c>
      <c r="I13" s="10">
        <v>20.68</v>
      </c>
      <c r="J13" s="9">
        <v>55.33</v>
      </c>
      <c r="K13" s="10">
        <v>18.75</v>
      </c>
      <c r="L13" s="9">
        <f t="shared" si="0"/>
        <v>50.91</v>
      </c>
      <c r="M13" s="10">
        <f t="shared" si="1"/>
        <v>16.09</v>
      </c>
      <c r="N13" s="9">
        <f t="shared" si="2"/>
        <v>45.01</v>
      </c>
      <c r="O13" s="10">
        <f t="shared" si="3"/>
        <v>14.16</v>
      </c>
      <c r="P13" s="9">
        <f t="shared" si="4"/>
        <v>5.8999999999999986</v>
      </c>
      <c r="Q13" s="10">
        <f t="shared" si="5"/>
        <v>1.9299999999999997</v>
      </c>
      <c r="R13" s="9">
        <f t="shared" si="6"/>
        <v>13.108198178182622</v>
      </c>
      <c r="S13" s="10">
        <f t="shared" si="6"/>
        <v>13.629943502824856</v>
      </c>
      <c r="T13" s="10">
        <f t="shared" si="7"/>
        <v>13.369070840503738</v>
      </c>
      <c r="U13" s="7">
        <f t="shared" si="8"/>
        <v>13.108198178182622</v>
      </c>
      <c r="V13" s="27">
        <f t="shared" si="8"/>
        <v>13.629943502824856</v>
      </c>
      <c r="W13" s="9">
        <f>(U13/'Constantes e Funções Auxiliares'!$J$21)*'Constantes e Funções Auxiliares'!$I$21</f>
        <v>24.051739776481874</v>
      </c>
      <c r="X13" s="31">
        <f>(V13/'Constantes e Funções Auxiliares'!$J$21)*'Constantes e Funções Auxiliares'!$I$21</f>
        <v>25.009070647385055</v>
      </c>
      <c r="Y13" s="34">
        <f t="shared" si="9"/>
        <v>24.530405211933463</v>
      </c>
    </row>
    <row r="14" spans="1:28" ht="14.95" thickBot="1" x14ac:dyDescent="0.3">
      <c r="A14" s="17" t="s">
        <v>11</v>
      </c>
      <c r="B14" s="17" t="s">
        <v>63</v>
      </c>
      <c r="C14" s="100"/>
      <c r="D14" s="104"/>
      <c r="E14" s="4">
        <v>30</v>
      </c>
      <c r="F14" s="11">
        <v>10.16</v>
      </c>
      <c r="G14" s="12">
        <v>9.1999999999999993</v>
      </c>
      <c r="H14" s="11">
        <v>44.8</v>
      </c>
      <c r="I14" s="12">
        <v>37.93</v>
      </c>
      <c r="J14" s="11">
        <v>41.08</v>
      </c>
      <c r="K14" s="12">
        <v>34.83</v>
      </c>
      <c r="L14" s="11">
        <f t="shared" si="0"/>
        <v>34.64</v>
      </c>
      <c r="M14" s="12">
        <f t="shared" si="1"/>
        <v>28.73</v>
      </c>
      <c r="N14" s="11">
        <f t="shared" si="2"/>
        <v>30.919999999999998</v>
      </c>
      <c r="O14" s="12">
        <f t="shared" si="3"/>
        <v>25.63</v>
      </c>
      <c r="P14" s="11">
        <f t="shared" si="4"/>
        <v>3.7200000000000024</v>
      </c>
      <c r="Q14" s="12">
        <f t="shared" si="5"/>
        <v>3.1000000000000014</v>
      </c>
      <c r="R14" s="11">
        <f t="shared" si="6"/>
        <v>12.031047865459259</v>
      </c>
      <c r="S14" s="12">
        <f t="shared" si="6"/>
        <v>12.095200936402659</v>
      </c>
      <c r="T14" s="12">
        <f t="shared" si="7"/>
        <v>12.06312440093096</v>
      </c>
      <c r="U14" s="7">
        <f t="shared" si="8"/>
        <v>12.031047865459259</v>
      </c>
      <c r="V14" s="27">
        <f t="shared" si="8"/>
        <v>12.095200936402659</v>
      </c>
      <c r="W14" s="11">
        <f>(U14/'Constantes e Funções Auxiliares'!$J$21)*'Constantes e Funções Auxiliares'!$I$21</f>
        <v>22.075317184328913</v>
      </c>
      <c r="X14" s="32">
        <f>(V14/'Constantes e Funções Auxiliares'!$J$21)*'Constantes e Funções Auxiliares'!$I$21</f>
        <v>22.193029241105794</v>
      </c>
      <c r="Y14" s="35">
        <f t="shared" si="9"/>
        <v>22.134173212717354</v>
      </c>
    </row>
    <row r="15" spans="1:28" ht="14.95" thickBot="1" x14ac:dyDescent="0.3">
      <c r="A15" s="17" t="s">
        <v>12</v>
      </c>
      <c r="B15" s="17" t="s">
        <v>64</v>
      </c>
      <c r="C15" s="100"/>
      <c r="D15" s="102">
        <v>4</v>
      </c>
      <c r="E15" s="2">
        <v>5</v>
      </c>
      <c r="F15" s="7">
        <v>21.08</v>
      </c>
      <c r="G15" s="8">
        <v>4.38</v>
      </c>
      <c r="H15" s="7">
        <v>68.89</v>
      </c>
      <c r="I15" s="8">
        <v>19.5</v>
      </c>
      <c r="J15" s="7">
        <v>64.98</v>
      </c>
      <c r="K15" s="8">
        <v>18.420000000000002</v>
      </c>
      <c r="L15" s="7">
        <f t="shared" si="0"/>
        <v>47.81</v>
      </c>
      <c r="M15" s="8">
        <f t="shared" si="1"/>
        <v>15.120000000000001</v>
      </c>
      <c r="N15" s="7">
        <f t="shared" si="2"/>
        <v>43.900000000000006</v>
      </c>
      <c r="O15" s="8">
        <f t="shared" si="3"/>
        <v>14.040000000000003</v>
      </c>
      <c r="P15" s="7">
        <f t="shared" si="4"/>
        <v>3.9099999999999966</v>
      </c>
      <c r="Q15" s="8">
        <f t="shared" si="5"/>
        <v>1.0799999999999983</v>
      </c>
      <c r="R15" s="7">
        <f t="shared" si="6"/>
        <v>8.9066059225512451</v>
      </c>
      <c r="S15" s="8">
        <f t="shared" si="6"/>
        <v>7.6923076923076792</v>
      </c>
      <c r="T15" s="8">
        <f t="shared" si="7"/>
        <v>8.2994568074294612</v>
      </c>
      <c r="U15" s="7">
        <f t="shared" si="8"/>
        <v>8.9066059225512451</v>
      </c>
      <c r="V15" s="27">
        <f t="shared" si="8"/>
        <v>7.6923076923076792</v>
      </c>
      <c r="W15" s="7">
        <f>(U15/'Constantes e Funções Auxiliares'!$J$21)*'Constantes e Funções Auxiliares'!$I$21</f>
        <v>16.34239618816742</v>
      </c>
      <c r="X15" s="30">
        <f>(V15/'Constantes e Funções Auxiliares'!$J$21)*'Constantes e Funções Auxiliares'!$I$21</f>
        <v>14.11432604093152</v>
      </c>
      <c r="Y15" s="27">
        <f t="shared" si="9"/>
        <v>15.22836111454947</v>
      </c>
    </row>
    <row r="16" spans="1:28" ht="14.95" thickBot="1" x14ac:dyDescent="0.3">
      <c r="A16" s="17" t="s">
        <v>13</v>
      </c>
      <c r="B16" s="17" t="s">
        <v>65</v>
      </c>
      <c r="C16" s="100"/>
      <c r="D16" s="103">
        <v>4</v>
      </c>
      <c r="E16" s="3">
        <v>15</v>
      </c>
      <c r="F16" s="9">
        <v>10.82</v>
      </c>
      <c r="G16" s="10">
        <v>4.54</v>
      </c>
      <c r="H16" s="9">
        <v>60.89</v>
      </c>
      <c r="I16" s="10">
        <v>25.55</v>
      </c>
      <c r="J16" s="9">
        <v>56.54</v>
      </c>
      <c r="K16" s="10">
        <v>23.77</v>
      </c>
      <c r="L16" s="9">
        <f t="shared" si="0"/>
        <v>50.07</v>
      </c>
      <c r="M16" s="10">
        <f t="shared" si="1"/>
        <v>21.01</v>
      </c>
      <c r="N16" s="9">
        <f t="shared" si="2"/>
        <v>45.72</v>
      </c>
      <c r="O16" s="10">
        <f t="shared" si="3"/>
        <v>19.23</v>
      </c>
      <c r="P16" s="9">
        <f t="shared" si="4"/>
        <v>4.3500000000000014</v>
      </c>
      <c r="Q16" s="10">
        <f t="shared" si="5"/>
        <v>1.7800000000000011</v>
      </c>
      <c r="R16" s="9">
        <f t="shared" si="6"/>
        <v>9.5144356955380616</v>
      </c>
      <c r="S16" s="10">
        <f t="shared" si="6"/>
        <v>9.2563702548101983</v>
      </c>
      <c r="T16" s="10">
        <f t="shared" si="7"/>
        <v>9.3854029751741308</v>
      </c>
      <c r="U16" s="7">
        <f t="shared" si="8"/>
        <v>9.5144356955380616</v>
      </c>
      <c r="V16" s="27">
        <f t="shared" si="8"/>
        <v>9.2563702548101983</v>
      </c>
      <c r="W16" s="9">
        <f>(U16/'Constantes e Funções Auxiliares'!$J$21)*'Constantes e Funções Auxiliares'!$I$21</f>
        <v>17.457680175299195</v>
      </c>
      <c r="X16" s="31">
        <f>(V16/'Constantes e Funções Auxiliares'!$J$21)*'Constantes e Funções Auxiliares'!$I$21</f>
        <v>16.984165605156328</v>
      </c>
      <c r="Y16" s="34">
        <f t="shared" si="9"/>
        <v>17.220922890227762</v>
      </c>
    </row>
    <row r="17" spans="1:25" ht="14.95" thickBot="1" x14ac:dyDescent="0.3">
      <c r="A17" s="17" t="s">
        <v>14</v>
      </c>
      <c r="B17" s="17" t="s">
        <v>66</v>
      </c>
      <c r="C17" s="100"/>
      <c r="D17" s="104"/>
      <c r="E17" s="4">
        <v>30</v>
      </c>
      <c r="F17" s="11">
        <v>20.65</v>
      </c>
      <c r="G17" s="12">
        <v>8.09</v>
      </c>
      <c r="H17" s="11">
        <v>80.459999999999994</v>
      </c>
      <c r="I17" s="12">
        <v>30.35</v>
      </c>
      <c r="J17" s="11">
        <v>74.95</v>
      </c>
      <c r="K17" s="12">
        <v>28.25</v>
      </c>
      <c r="L17" s="11">
        <f t="shared" si="0"/>
        <v>59.809999999999995</v>
      </c>
      <c r="M17" s="12">
        <f t="shared" si="1"/>
        <v>22.26</v>
      </c>
      <c r="N17" s="11">
        <f t="shared" si="2"/>
        <v>54.300000000000004</v>
      </c>
      <c r="O17" s="12">
        <f t="shared" si="3"/>
        <v>20.16</v>
      </c>
      <c r="P17" s="11">
        <f t="shared" si="4"/>
        <v>5.5099999999999909</v>
      </c>
      <c r="Q17" s="12">
        <f t="shared" si="5"/>
        <v>2.1000000000000014</v>
      </c>
      <c r="R17" s="11">
        <f t="shared" si="6"/>
        <v>10.147329650092063</v>
      </c>
      <c r="S17" s="12">
        <f t="shared" si="6"/>
        <v>10.416666666666675</v>
      </c>
      <c r="T17" s="12">
        <f t="shared" si="7"/>
        <v>10.28199815837937</v>
      </c>
      <c r="U17" s="7">
        <f t="shared" si="8"/>
        <v>10.147329650092063</v>
      </c>
      <c r="V17" s="27">
        <f t="shared" si="8"/>
        <v>10.416666666666675</v>
      </c>
      <c r="W17" s="11">
        <f>(U17/'Constantes e Funções Auxiliares'!$J$21)*'Constantes e Funções Auxiliares'!$I$21</f>
        <v>18.618953486407452</v>
      </c>
      <c r="X17" s="32">
        <f>(V17/'Constantes e Funções Auxiliares'!$J$21)*'Constantes e Funções Auxiliares'!$I$21</f>
        <v>19.113149847094814</v>
      </c>
      <c r="Y17" s="35">
        <f t="shared" si="9"/>
        <v>18.866051666751133</v>
      </c>
    </row>
    <row r="18" spans="1:25" ht="14.95" thickBot="1" x14ac:dyDescent="0.3">
      <c r="A18" s="17" t="s">
        <v>15</v>
      </c>
      <c r="B18" s="17" t="s">
        <v>67</v>
      </c>
      <c r="C18" s="100"/>
      <c r="D18" s="102">
        <v>5</v>
      </c>
      <c r="E18" s="2">
        <v>5</v>
      </c>
      <c r="F18" s="7">
        <v>18.149999999999999</v>
      </c>
      <c r="G18" s="8">
        <v>14.76</v>
      </c>
      <c r="H18" s="7">
        <v>73.180000000000007</v>
      </c>
      <c r="I18" s="8">
        <v>34.56</v>
      </c>
      <c r="J18" s="7">
        <v>67.83</v>
      </c>
      <c r="K18" s="8">
        <v>32.69</v>
      </c>
      <c r="L18" s="7">
        <f t="shared" si="0"/>
        <v>55.030000000000008</v>
      </c>
      <c r="M18" s="8">
        <f t="shared" si="1"/>
        <v>19.800000000000004</v>
      </c>
      <c r="N18" s="7">
        <f t="shared" si="2"/>
        <v>49.68</v>
      </c>
      <c r="O18" s="8">
        <f t="shared" si="3"/>
        <v>17.93</v>
      </c>
      <c r="P18" s="7">
        <f t="shared" si="4"/>
        <v>5.3500000000000085</v>
      </c>
      <c r="Q18" s="8">
        <f t="shared" si="5"/>
        <v>1.8700000000000045</v>
      </c>
      <c r="R18" s="7">
        <f t="shared" si="6"/>
        <v>10.76892109500807</v>
      </c>
      <c r="S18" s="8">
        <f t="shared" si="6"/>
        <v>10.429447852760761</v>
      </c>
      <c r="T18" s="8">
        <f t="shared" si="7"/>
        <v>10.599184473884415</v>
      </c>
      <c r="U18" s="7">
        <f t="shared" si="8"/>
        <v>10.76892109500807</v>
      </c>
      <c r="V18" s="27">
        <f t="shared" si="8"/>
        <v>10.429447852760761</v>
      </c>
      <c r="W18" s="7">
        <f>(U18/'Constantes e Funções Auxiliares'!$J$21)*'Constantes e Funções Auxiliares'!$I$21</f>
        <v>19.759488247721226</v>
      </c>
      <c r="X18" s="30">
        <f>(V18/'Constantes e Funções Auxiliares'!$J$21)*'Constantes e Funções Auxiliares'!$I$21</f>
        <v>19.136601564698644</v>
      </c>
      <c r="Y18" s="27">
        <f t="shared" si="9"/>
        <v>19.448044906209937</v>
      </c>
    </row>
    <row r="19" spans="1:25" ht="14.95" thickBot="1" x14ac:dyDescent="0.3">
      <c r="A19" s="17" t="s">
        <v>16</v>
      </c>
      <c r="B19" s="17" t="s">
        <v>68</v>
      </c>
      <c r="C19" s="100"/>
      <c r="D19" s="103">
        <v>5</v>
      </c>
      <c r="E19" s="3">
        <v>15</v>
      </c>
      <c r="F19" s="9">
        <v>20.98</v>
      </c>
      <c r="G19" s="10">
        <v>4.6500000000000004</v>
      </c>
      <c r="H19" s="9">
        <v>72.77</v>
      </c>
      <c r="I19" s="10">
        <v>23.29</v>
      </c>
      <c r="J19" s="9">
        <v>68.650000000000006</v>
      </c>
      <c r="K19" s="10">
        <v>21.74</v>
      </c>
      <c r="L19" s="9">
        <f t="shared" si="0"/>
        <v>51.789999999999992</v>
      </c>
      <c r="M19" s="10">
        <f t="shared" si="1"/>
        <v>18.64</v>
      </c>
      <c r="N19" s="9">
        <f t="shared" si="2"/>
        <v>47.67</v>
      </c>
      <c r="O19" s="10">
        <f t="shared" si="3"/>
        <v>17.089999999999996</v>
      </c>
      <c r="P19" s="9">
        <f t="shared" si="4"/>
        <v>4.1199999999999903</v>
      </c>
      <c r="Q19" s="10">
        <f t="shared" si="5"/>
        <v>1.5500000000000043</v>
      </c>
      <c r="R19" s="9">
        <f t="shared" si="6"/>
        <v>8.6427522550870357</v>
      </c>
      <c r="S19" s="10">
        <f t="shared" si="6"/>
        <v>9.0696313633704193</v>
      </c>
      <c r="T19" s="10">
        <f t="shared" si="7"/>
        <v>8.8561918092287275</v>
      </c>
      <c r="U19" s="7">
        <f t="shared" si="8"/>
        <v>8.6427522550870357</v>
      </c>
      <c r="V19" s="27">
        <f t="shared" si="8"/>
        <v>9.0696313633704193</v>
      </c>
      <c r="W19" s="9">
        <f>(U19/'Constantes e Funções Auxiliares'!$J$21)*'Constantes e Funções Auxiliares'!$I$21</f>
        <v>15.858261018508321</v>
      </c>
      <c r="X19" s="31">
        <f>(V19/'Constantes e Funções Auxiliares'!$J$21)*'Constantes e Funções Auxiliares'!$I$21</f>
        <v>16.641525437376917</v>
      </c>
      <c r="Y19" s="34">
        <f t="shared" si="9"/>
        <v>16.249893227942618</v>
      </c>
    </row>
    <row r="20" spans="1:25" ht="14.95" thickBot="1" x14ac:dyDescent="0.3">
      <c r="A20" s="17" t="s">
        <v>17</v>
      </c>
      <c r="B20" s="17" t="s">
        <v>69</v>
      </c>
      <c r="C20" s="100"/>
      <c r="D20" s="104"/>
      <c r="E20" s="4">
        <v>30</v>
      </c>
      <c r="F20" s="11">
        <v>11.02</v>
      </c>
      <c r="G20" s="12">
        <v>4.43</v>
      </c>
      <c r="H20" s="11">
        <v>68.86</v>
      </c>
      <c r="I20" s="12">
        <v>22.3</v>
      </c>
      <c r="J20" s="11">
        <v>62.28</v>
      </c>
      <c r="K20" s="12">
        <v>20.309999999999999</v>
      </c>
      <c r="L20" s="11">
        <f t="shared" si="0"/>
        <v>57.84</v>
      </c>
      <c r="M20" s="12">
        <f t="shared" si="1"/>
        <v>17.87</v>
      </c>
      <c r="N20" s="11">
        <f t="shared" si="2"/>
        <v>51.260000000000005</v>
      </c>
      <c r="O20" s="12">
        <f t="shared" si="3"/>
        <v>15.879999999999999</v>
      </c>
      <c r="P20" s="11">
        <f t="shared" si="4"/>
        <v>6.5799999999999983</v>
      </c>
      <c r="Q20" s="12">
        <f t="shared" si="5"/>
        <v>1.990000000000002</v>
      </c>
      <c r="R20" s="11">
        <f t="shared" si="6"/>
        <v>12.836519703472488</v>
      </c>
      <c r="S20" s="12">
        <f t="shared" si="6"/>
        <v>12.53148614609573</v>
      </c>
      <c r="T20" s="12">
        <f t="shared" si="7"/>
        <v>12.68400292478411</v>
      </c>
      <c r="U20" s="7">
        <f t="shared" si="8"/>
        <v>12.836519703472488</v>
      </c>
      <c r="V20" s="27">
        <f t="shared" si="8"/>
        <v>12.53148614609573</v>
      </c>
      <c r="W20" s="11">
        <f>(U20/'Constantes e Funções Auxiliares'!$J$21)*'Constantes e Funções Auxiliares'!$I$21</f>
        <v>23.553247162334838</v>
      </c>
      <c r="X20" s="32">
        <f>(V20/'Constantes e Funções Auxiliares'!$J$21)*'Constantes e Funções Auxiliares'!$I$21</f>
        <v>22.99355256164354</v>
      </c>
      <c r="Y20" s="35">
        <f t="shared" si="9"/>
        <v>23.273399861989191</v>
      </c>
    </row>
    <row r="21" spans="1:25" ht="14.95" thickBot="1" x14ac:dyDescent="0.3">
      <c r="A21" s="17" t="s">
        <v>18</v>
      </c>
      <c r="B21" s="17" t="s">
        <v>70</v>
      </c>
      <c r="C21" s="100"/>
      <c r="D21" s="102">
        <v>6</v>
      </c>
      <c r="E21" s="2">
        <v>5</v>
      </c>
      <c r="F21" s="7">
        <v>10</v>
      </c>
      <c r="G21" s="8">
        <v>14.56</v>
      </c>
      <c r="H21" s="7">
        <v>47.18</v>
      </c>
      <c r="I21" s="8">
        <v>32.15</v>
      </c>
      <c r="J21" s="7">
        <v>42.5</v>
      </c>
      <c r="K21" s="8">
        <v>29.94</v>
      </c>
      <c r="L21" s="7">
        <f t="shared" si="0"/>
        <v>37.18</v>
      </c>
      <c r="M21" s="8">
        <f t="shared" si="1"/>
        <v>17.589999999999996</v>
      </c>
      <c r="N21" s="7">
        <f t="shared" si="2"/>
        <v>32.5</v>
      </c>
      <c r="O21" s="8">
        <f t="shared" si="3"/>
        <v>15.38</v>
      </c>
      <c r="P21" s="7">
        <f t="shared" si="4"/>
        <v>4.68</v>
      </c>
      <c r="Q21" s="8">
        <f t="shared" si="5"/>
        <v>2.2099999999999955</v>
      </c>
      <c r="R21" s="7">
        <f t="shared" si="6"/>
        <v>14.399999999999999</v>
      </c>
      <c r="S21" s="8">
        <f t="shared" si="6"/>
        <v>14.369310793237942</v>
      </c>
      <c r="T21" s="8">
        <f t="shared" si="7"/>
        <v>14.384655396618971</v>
      </c>
      <c r="U21" s="7">
        <f t="shared" si="8"/>
        <v>14.399999999999999</v>
      </c>
      <c r="V21" s="27">
        <f t="shared" si="8"/>
        <v>14.369310793237942</v>
      </c>
      <c r="W21" s="7">
        <f>(U21/'Constantes e Funções Auxiliares'!$J$21)*'Constantes e Funções Auxiliares'!$I$21</f>
        <v>26.422018348623848</v>
      </c>
      <c r="X21" s="30">
        <f>(V21/'Constantes e Funções Auxiliares'!$J$21)*'Constantes e Funções Auxiliares'!$I$21</f>
        <v>26.36570787750081</v>
      </c>
      <c r="Y21" s="27">
        <f t="shared" si="9"/>
        <v>26.393863113062331</v>
      </c>
    </row>
    <row r="22" spans="1:25" ht="14.95" thickBot="1" x14ac:dyDescent="0.3">
      <c r="A22" s="17" t="s">
        <v>19</v>
      </c>
      <c r="B22" s="17" t="s">
        <v>71</v>
      </c>
      <c r="C22" s="100"/>
      <c r="D22" s="103">
        <v>6</v>
      </c>
      <c r="E22" s="3">
        <v>15</v>
      </c>
      <c r="F22" s="9">
        <v>22.99</v>
      </c>
      <c r="G22" s="10">
        <v>4.63</v>
      </c>
      <c r="H22" s="9">
        <v>63.9</v>
      </c>
      <c r="I22" s="10">
        <v>21.3</v>
      </c>
      <c r="J22" s="9">
        <v>59.03</v>
      </c>
      <c r="K22" s="10">
        <v>19.190000000000001</v>
      </c>
      <c r="L22" s="9">
        <f t="shared" si="0"/>
        <v>40.909999999999997</v>
      </c>
      <c r="M22" s="10">
        <f t="shared" si="1"/>
        <v>16.670000000000002</v>
      </c>
      <c r="N22" s="9">
        <f t="shared" si="2"/>
        <v>36.040000000000006</v>
      </c>
      <c r="O22" s="10">
        <f t="shared" si="3"/>
        <v>14.560000000000002</v>
      </c>
      <c r="P22" s="9">
        <f t="shared" si="4"/>
        <v>4.8699999999999903</v>
      </c>
      <c r="Q22" s="10">
        <f t="shared" si="5"/>
        <v>2.1099999999999994</v>
      </c>
      <c r="R22" s="9">
        <f t="shared" si="6"/>
        <v>13.51276359600441</v>
      </c>
      <c r="S22" s="10">
        <f t="shared" si="6"/>
        <v>14.491758241758234</v>
      </c>
      <c r="T22" s="10">
        <f t="shared" si="7"/>
        <v>14.002260918881323</v>
      </c>
      <c r="U22" s="7">
        <f t="shared" si="8"/>
        <v>13.51276359600441</v>
      </c>
      <c r="V22" s="27">
        <f t="shared" si="8"/>
        <v>14.491758241758234</v>
      </c>
      <c r="W22" s="9">
        <f>(U22/'Constantes e Funções Auxiliares'!$J$21)*'Constantes e Funções Auxiliares'!$I$21</f>
        <v>24.794061644044788</v>
      </c>
      <c r="X22" s="31">
        <f>(V22/'Constantes e Funções Auxiliares'!$J$21)*'Constantes e Funções Auxiliares'!$I$21</f>
        <v>26.590382094969236</v>
      </c>
      <c r="Y22" s="34">
        <f t="shared" si="9"/>
        <v>25.692221869507012</v>
      </c>
    </row>
    <row r="23" spans="1:25" ht="14.95" thickBot="1" x14ac:dyDescent="0.3">
      <c r="A23" s="17" t="s">
        <v>20</v>
      </c>
      <c r="B23" s="17" t="s">
        <v>72</v>
      </c>
      <c r="C23" s="101"/>
      <c r="D23" s="104"/>
      <c r="E23" s="4">
        <v>30</v>
      </c>
      <c r="F23" s="11">
        <v>10.79</v>
      </c>
      <c r="G23" s="12">
        <v>4.7300000000000004</v>
      </c>
      <c r="H23" s="11">
        <v>55.76</v>
      </c>
      <c r="I23" s="12">
        <v>24.62</v>
      </c>
      <c r="J23" s="11">
        <v>51.09</v>
      </c>
      <c r="K23" s="12">
        <v>22.6</v>
      </c>
      <c r="L23" s="11">
        <f t="shared" si="0"/>
        <v>44.97</v>
      </c>
      <c r="M23" s="12">
        <f t="shared" si="1"/>
        <v>19.89</v>
      </c>
      <c r="N23" s="11">
        <f t="shared" si="2"/>
        <v>40.300000000000004</v>
      </c>
      <c r="O23" s="12">
        <f t="shared" si="3"/>
        <v>17.87</v>
      </c>
      <c r="P23" s="11">
        <f t="shared" si="4"/>
        <v>4.6699999999999946</v>
      </c>
      <c r="Q23" s="12">
        <f t="shared" si="5"/>
        <v>2.0199999999999996</v>
      </c>
      <c r="R23" s="11">
        <f t="shared" si="6"/>
        <v>11.588089330024799</v>
      </c>
      <c r="S23" s="12">
        <f t="shared" si="6"/>
        <v>11.303861219921654</v>
      </c>
      <c r="T23" s="12">
        <f t="shared" si="7"/>
        <v>11.445975274973225</v>
      </c>
      <c r="U23" s="7">
        <f t="shared" si="8"/>
        <v>11.588089330024799</v>
      </c>
      <c r="V23" s="27">
        <f t="shared" si="8"/>
        <v>11.303861219921654</v>
      </c>
      <c r="W23" s="11">
        <f>(U23/'Constantes e Funções Auxiliares'!$J$21)*'Constantes e Funções Auxiliares'!$I$21</f>
        <v>21.262549229403298</v>
      </c>
      <c r="X23" s="32">
        <f>(V23/'Constantes e Funções Auxiliares'!$J$21)*'Constantes e Funções Auxiliares'!$I$21</f>
        <v>20.741029761324135</v>
      </c>
      <c r="Y23" s="35">
        <f t="shared" si="9"/>
        <v>21.001789495363717</v>
      </c>
    </row>
    <row r="24" spans="1:25" ht="14.95" thickBot="1" x14ac:dyDescent="0.3">
      <c r="A24" s="17" t="s">
        <v>21</v>
      </c>
      <c r="B24" s="17" t="s">
        <v>73</v>
      </c>
      <c r="C24" s="99">
        <v>25</v>
      </c>
      <c r="D24" s="102">
        <v>1</v>
      </c>
      <c r="E24" s="2">
        <v>5</v>
      </c>
      <c r="F24" s="7">
        <v>21.11</v>
      </c>
      <c r="G24" s="8">
        <v>8.9499999999999993</v>
      </c>
      <c r="H24" s="7">
        <v>62.47</v>
      </c>
      <c r="I24" s="8">
        <v>28.29</v>
      </c>
      <c r="J24" s="7">
        <v>56.78</v>
      </c>
      <c r="K24" s="8">
        <v>25.64</v>
      </c>
      <c r="L24" s="7">
        <f t="shared" si="0"/>
        <v>41.36</v>
      </c>
      <c r="M24" s="8">
        <f t="shared" si="1"/>
        <v>19.34</v>
      </c>
      <c r="N24" s="7">
        <f t="shared" si="2"/>
        <v>35.67</v>
      </c>
      <c r="O24" s="8">
        <f t="shared" si="3"/>
        <v>16.690000000000001</v>
      </c>
      <c r="P24" s="7">
        <f t="shared" si="4"/>
        <v>5.6899999999999977</v>
      </c>
      <c r="Q24" s="8">
        <f t="shared" si="5"/>
        <v>2.6499999999999986</v>
      </c>
      <c r="R24" s="7">
        <f t="shared" si="6"/>
        <v>15.951780207457238</v>
      </c>
      <c r="S24" s="8">
        <f t="shared" si="6"/>
        <v>15.877771120431387</v>
      </c>
      <c r="T24" s="8">
        <f t="shared" si="7"/>
        <v>15.914775663944312</v>
      </c>
      <c r="U24" s="7">
        <f t="shared" si="8"/>
        <v>15.951780207457238</v>
      </c>
      <c r="V24" s="27">
        <f t="shared" si="8"/>
        <v>15.877771120431387</v>
      </c>
      <c r="W24" s="7">
        <f>(U24/'Constantes e Funções Auxiliares'!$J$21)*'Constantes e Funções Auxiliares'!$I$21</f>
        <v>29.269321481572913</v>
      </c>
      <c r="X24" s="30">
        <f>(V24/'Constantes e Funções Auxiliares'!$J$21)*'Constantes e Funções Auxiliares'!$I$21</f>
        <v>29.133524991617222</v>
      </c>
      <c r="Y24" s="27">
        <f t="shared" si="9"/>
        <v>29.201423236595069</v>
      </c>
    </row>
    <row r="25" spans="1:25" ht="14.95" thickBot="1" x14ac:dyDescent="0.3">
      <c r="A25" s="17" t="s">
        <v>22</v>
      </c>
      <c r="B25" s="17" t="s">
        <v>75</v>
      </c>
      <c r="C25" s="100"/>
      <c r="D25" s="103"/>
      <c r="E25" s="3">
        <v>15</v>
      </c>
      <c r="F25" s="9">
        <v>10.51</v>
      </c>
      <c r="G25" s="10">
        <v>4.57</v>
      </c>
      <c r="H25" s="9">
        <v>55.69</v>
      </c>
      <c r="I25" s="10">
        <v>35.29</v>
      </c>
      <c r="J25" s="9">
        <v>50.61</v>
      </c>
      <c r="K25" s="10">
        <v>32.35</v>
      </c>
      <c r="L25" s="9">
        <f t="shared" si="0"/>
        <v>45.18</v>
      </c>
      <c r="M25" s="10">
        <f t="shared" si="1"/>
        <v>30.72</v>
      </c>
      <c r="N25" s="9">
        <f t="shared" si="2"/>
        <v>40.1</v>
      </c>
      <c r="O25" s="10">
        <f t="shared" si="3"/>
        <v>27.78</v>
      </c>
      <c r="P25" s="9">
        <f t="shared" si="4"/>
        <v>5.0799999999999983</v>
      </c>
      <c r="Q25" s="10">
        <f t="shared" si="5"/>
        <v>2.9399999999999977</v>
      </c>
      <c r="R25" s="9">
        <f t="shared" si="6"/>
        <v>12.668329177057352</v>
      </c>
      <c r="S25" s="10">
        <f t="shared" si="6"/>
        <v>10.583153347732173</v>
      </c>
      <c r="T25" s="10">
        <f t="shared" si="7"/>
        <v>11.625741262394762</v>
      </c>
      <c r="U25" s="7">
        <f t="shared" si="8"/>
        <v>12.668329177057352</v>
      </c>
      <c r="V25" s="27">
        <f t="shared" si="8"/>
        <v>10.583153347732173</v>
      </c>
      <c r="W25" s="9">
        <f>(U25/'Constantes e Funções Auxiliares'!$J$21)*'Constantes e Funções Auxiliares'!$I$21</f>
        <v>23.24464069184835</v>
      </c>
      <c r="X25" s="31">
        <f>(V25/'Constantes e Funções Auxiliares'!$J$21)*'Constantes e Funções Auxiliares'!$I$21</f>
        <v>19.418629995838849</v>
      </c>
      <c r="Y25" s="34">
        <f t="shared" si="9"/>
        <v>21.331635343843601</v>
      </c>
    </row>
    <row r="26" spans="1:25" ht="14.95" thickBot="1" x14ac:dyDescent="0.3">
      <c r="A26" s="17" t="s">
        <v>23</v>
      </c>
      <c r="B26" s="17" t="s">
        <v>74</v>
      </c>
      <c r="C26" s="100"/>
      <c r="D26" s="104"/>
      <c r="E26" s="4">
        <v>30</v>
      </c>
      <c r="F26" s="11">
        <v>10.52</v>
      </c>
      <c r="G26" s="12">
        <v>9.09</v>
      </c>
      <c r="H26" s="11">
        <v>56.63</v>
      </c>
      <c r="I26" s="12">
        <v>31.07</v>
      </c>
      <c r="J26" s="11">
        <v>50.03</v>
      </c>
      <c r="K26" s="12">
        <v>27.38</v>
      </c>
      <c r="L26" s="11">
        <f t="shared" si="0"/>
        <v>46.11</v>
      </c>
      <c r="M26" s="12">
        <f t="shared" si="1"/>
        <v>21.98</v>
      </c>
      <c r="N26" s="11">
        <f t="shared" si="2"/>
        <v>39.510000000000005</v>
      </c>
      <c r="O26" s="12">
        <f t="shared" si="3"/>
        <v>18.29</v>
      </c>
      <c r="P26" s="11">
        <f t="shared" si="4"/>
        <v>6.5999999999999943</v>
      </c>
      <c r="Q26" s="12">
        <f t="shared" si="5"/>
        <v>3.6900000000000013</v>
      </c>
      <c r="R26" s="11">
        <f t="shared" si="6"/>
        <v>16.704631738800288</v>
      </c>
      <c r="S26" s="12">
        <f t="shared" si="6"/>
        <v>20.174958993985793</v>
      </c>
      <c r="T26" s="12">
        <f t="shared" si="7"/>
        <v>18.439795366393042</v>
      </c>
      <c r="U26" s="7">
        <f t="shared" si="8"/>
        <v>16.704631738800288</v>
      </c>
      <c r="V26" s="27">
        <f t="shared" si="8"/>
        <v>20.174958993985793</v>
      </c>
      <c r="W26" s="11">
        <f>(U26/'Constantes e Funções Auxiliares'!$J$21)*'Constantes e Funções Auxiliares'!$I$21</f>
        <v>30.650700438165664</v>
      </c>
      <c r="X26" s="32">
        <f>(V26/'Constantes e Funções Auxiliares'!$J$21)*'Constantes e Funções Auxiliares'!$I$21</f>
        <v>37.018273383460169</v>
      </c>
      <c r="Y26" s="35">
        <f t="shared" si="9"/>
        <v>33.834486910812913</v>
      </c>
    </row>
    <row r="27" spans="1:25" ht="14.95" thickBot="1" x14ac:dyDescent="0.3">
      <c r="A27" s="17" t="s">
        <v>24</v>
      </c>
      <c r="B27" s="17" t="s">
        <v>76</v>
      </c>
      <c r="C27" s="100"/>
      <c r="D27" s="102">
        <v>2</v>
      </c>
      <c r="E27" s="2">
        <v>5</v>
      </c>
      <c r="F27" s="7">
        <v>10.9</v>
      </c>
      <c r="G27" s="8">
        <v>4.2300000000000004</v>
      </c>
      <c r="H27" s="7">
        <v>45.24</v>
      </c>
      <c r="I27" s="8">
        <v>20.05</v>
      </c>
      <c r="J27" s="7">
        <v>39.32</v>
      </c>
      <c r="K27" s="8">
        <v>17.68</v>
      </c>
      <c r="L27" s="7">
        <f t="shared" si="0"/>
        <v>34.340000000000003</v>
      </c>
      <c r="M27" s="8">
        <f t="shared" si="1"/>
        <v>15.82</v>
      </c>
      <c r="N27" s="7">
        <f t="shared" si="2"/>
        <v>28.42</v>
      </c>
      <c r="O27" s="8">
        <f t="shared" si="3"/>
        <v>13.45</v>
      </c>
      <c r="P27" s="7">
        <f t="shared" si="4"/>
        <v>5.9200000000000017</v>
      </c>
      <c r="Q27" s="8">
        <f t="shared" si="5"/>
        <v>2.370000000000001</v>
      </c>
      <c r="R27" s="7">
        <f t="shared" si="6"/>
        <v>20.830401125967633</v>
      </c>
      <c r="S27" s="8">
        <f t="shared" si="6"/>
        <v>17.620817843866181</v>
      </c>
      <c r="T27" s="8">
        <f t="shared" si="7"/>
        <v>19.225609484916909</v>
      </c>
      <c r="U27" s="7">
        <f t="shared" si="8"/>
        <v>20.830401125967633</v>
      </c>
      <c r="V27" s="27">
        <f t="shared" si="8"/>
        <v>17.620817843866181</v>
      </c>
      <c r="W27" s="7">
        <f>(U27/'Constantes e Funções Auxiliares'!$J$21)*'Constantes e Funções Auxiliares'!$I$21</f>
        <v>38.220919497188312</v>
      </c>
      <c r="X27" s="30">
        <f>(V27/'Constantes e Funções Auxiliares'!$J$21)*'Constantes e Funções Auxiliares'!$I$21</f>
        <v>32.331775860304916</v>
      </c>
      <c r="Y27" s="27">
        <f t="shared" si="9"/>
        <v>35.276347678746617</v>
      </c>
    </row>
    <row r="28" spans="1:25" ht="14.95" thickBot="1" x14ac:dyDescent="0.3">
      <c r="A28" s="17" t="s">
        <v>25</v>
      </c>
      <c r="B28" s="17" t="s">
        <v>77</v>
      </c>
      <c r="C28" s="100"/>
      <c r="D28" s="103"/>
      <c r="E28" s="3">
        <v>15</v>
      </c>
      <c r="F28" s="9">
        <v>20.25</v>
      </c>
      <c r="G28" s="10">
        <v>20.74</v>
      </c>
      <c r="H28" s="9">
        <v>55.38</v>
      </c>
      <c r="I28" s="10">
        <v>56.38</v>
      </c>
      <c r="J28" s="9">
        <v>51.96</v>
      </c>
      <c r="K28" s="10">
        <v>53.32</v>
      </c>
      <c r="L28" s="9">
        <f t="shared" si="0"/>
        <v>35.130000000000003</v>
      </c>
      <c r="M28" s="10">
        <f t="shared" si="1"/>
        <v>35.64</v>
      </c>
      <c r="N28" s="9">
        <f t="shared" si="2"/>
        <v>31.71</v>
      </c>
      <c r="O28" s="10">
        <f t="shared" si="3"/>
        <v>32.58</v>
      </c>
      <c r="P28" s="9">
        <f t="shared" si="4"/>
        <v>3.4200000000000017</v>
      </c>
      <c r="Q28" s="10">
        <f t="shared" si="5"/>
        <v>3.0600000000000023</v>
      </c>
      <c r="R28" s="9">
        <f t="shared" si="6"/>
        <v>10.785241248817414</v>
      </c>
      <c r="S28" s="10">
        <f t="shared" si="6"/>
        <v>9.3922651933701733</v>
      </c>
      <c r="T28" s="10">
        <f t="shared" si="7"/>
        <v>10.088753221093793</v>
      </c>
      <c r="U28" s="7">
        <f t="shared" si="8"/>
        <v>10.785241248817414</v>
      </c>
      <c r="V28" s="27">
        <f t="shared" si="8"/>
        <v>9.3922651933701733</v>
      </c>
      <c r="W28" s="9">
        <f>(U28/'Constantes e Funções Auxiliares'!$J$21)*'Constantes e Funções Auxiliares'!$I$21</f>
        <v>19.789433484068649</v>
      </c>
      <c r="X28" s="31">
        <f>(V28/'Constantes e Funções Auxiliares'!$J$21)*'Constantes e Funções Auxiliares'!$I$21</f>
        <v>17.233514116275547</v>
      </c>
      <c r="Y28" s="34">
        <f t="shared" si="9"/>
        <v>18.511473800172098</v>
      </c>
    </row>
    <row r="29" spans="1:25" ht="14.95" thickBot="1" x14ac:dyDescent="0.3">
      <c r="A29" s="17" t="s">
        <v>26</v>
      </c>
      <c r="B29" s="17" t="s">
        <v>78</v>
      </c>
      <c r="C29" s="100"/>
      <c r="D29" s="104"/>
      <c r="E29" s="4">
        <v>30</v>
      </c>
      <c r="F29" s="11">
        <v>20.74</v>
      </c>
      <c r="G29" s="12">
        <v>9.2899999999999991</v>
      </c>
      <c r="H29" s="11">
        <v>74.540000000000006</v>
      </c>
      <c r="I29" s="12">
        <v>35.79</v>
      </c>
      <c r="J29" s="11">
        <v>69.08</v>
      </c>
      <c r="K29" s="12">
        <v>33.14</v>
      </c>
      <c r="L29" s="11">
        <f t="shared" si="0"/>
        <v>53.800000000000011</v>
      </c>
      <c r="M29" s="12">
        <f t="shared" si="1"/>
        <v>26.5</v>
      </c>
      <c r="N29" s="11">
        <f t="shared" si="2"/>
        <v>48.34</v>
      </c>
      <c r="O29" s="12">
        <f t="shared" si="3"/>
        <v>23.85</v>
      </c>
      <c r="P29" s="11">
        <f t="shared" si="4"/>
        <v>5.460000000000008</v>
      </c>
      <c r="Q29" s="12">
        <f t="shared" si="5"/>
        <v>2.6499999999999986</v>
      </c>
      <c r="R29" s="11">
        <f t="shared" si="6"/>
        <v>11.294993793959469</v>
      </c>
      <c r="S29" s="12">
        <f t="shared" si="6"/>
        <v>11.111111111111105</v>
      </c>
      <c r="T29" s="12">
        <f t="shared" si="7"/>
        <v>11.203052452535287</v>
      </c>
      <c r="U29" s="7">
        <f t="shared" si="8"/>
        <v>11.294993793959469</v>
      </c>
      <c r="V29" s="27">
        <f t="shared" si="8"/>
        <v>11.111111111111105</v>
      </c>
      <c r="W29" s="11">
        <f>(U29/'Constantes e Funções Auxiliares'!$J$21)*'Constantes e Funções Auxiliares'!$I$21</f>
        <v>20.724759254971502</v>
      </c>
      <c r="X29" s="32">
        <f>(V29/'Constantes e Funções Auxiliares'!$J$21)*'Constantes e Funções Auxiliares'!$I$21</f>
        <v>20.387359836901108</v>
      </c>
      <c r="Y29" s="35">
        <f t="shared" si="9"/>
        <v>20.556059545936307</v>
      </c>
    </row>
    <row r="30" spans="1:25" ht="14.95" thickBot="1" x14ac:dyDescent="0.3">
      <c r="A30" s="17" t="s">
        <v>27</v>
      </c>
      <c r="B30" s="17" t="s">
        <v>79</v>
      </c>
      <c r="C30" s="100"/>
      <c r="D30" s="102">
        <v>3</v>
      </c>
      <c r="E30" s="2">
        <v>5</v>
      </c>
      <c r="F30" s="7">
        <v>21.01</v>
      </c>
      <c r="G30" s="8">
        <v>8.89</v>
      </c>
      <c r="H30" s="7">
        <v>55.32</v>
      </c>
      <c r="I30" s="8">
        <v>38.869999999999997</v>
      </c>
      <c r="J30" s="7">
        <v>50.23</v>
      </c>
      <c r="K30" s="8">
        <v>34.17</v>
      </c>
      <c r="L30" s="7">
        <f t="shared" si="0"/>
        <v>34.31</v>
      </c>
      <c r="M30" s="8">
        <f t="shared" si="1"/>
        <v>29.979999999999997</v>
      </c>
      <c r="N30" s="7">
        <f t="shared" si="2"/>
        <v>29.219999999999995</v>
      </c>
      <c r="O30" s="8">
        <f t="shared" si="3"/>
        <v>25.28</v>
      </c>
      <c r="P30" s="7">
        <f t="shared" si="4"/>
        <v>5.090000000000007</v>
      </c>
      <c r="Q30" s="8">
        <f t="shared" si="5"/>
        <v>4.6999999999999957</v>
      </c>
      <c r="R30" s="7">
        <f t="shared" si="6"/>
        <v>17.419575633128019</v>
      </c>
      <c r="S30" s="8">
        <f t="shared" si="6"/>
        <v>18.591772151898716</v>
      </c>
      <c r="T30" s="8">
        <f t="shared" si="7"/>
        <v>18.005673892513368</v>
      </c>
      <c r="U30" s="7">
        <f t="shared" si="8"/>
        <v>17.419575633128019</v>
      </c>
      <c r="V30" s="27">
        <f t="shared" si="8"/>
        <v>18.591772151898716</v>
      </c>
      <c r="W30" s="7">
        <f>(U30/'Constantes e Funções Auxiliares'!$J$21)*'Constantes e Funções Auxiliares'!$I$21</f>
        <v>31.962524097482603</v>
      </c>
      <c r="X30" s="30">
        <f>(V30/'Constantes e Funções Auxiliares'!$J$21)*'Constantes e Funções Auxiliares'!$I$21</f>
        <v>34.113343397979293</v>
      </c>
      <c r="Y30" s="27">
        <f t="shared" si="9"/>
        <v>33.037933747730946</v>
      </c>
    </row>
    <row r="31" spans="1:25" ht="14.95" thickBot="1" x14ac:dyDescent="0.3">
      <c r="A31" s="17" t="s">
        <v>28</v>
      </c>
      <c r="B31" s="17" t="s">
        <v>80</v>
      </c>
      <c r="C31" s="100"/>
      <c r="D31" s="103"/>
      <c r="E31" s="3">
        <v>15</v>
      </c>
      <c r="F31" s="9">
        <v>20.48</v>
      </c>
      <c r="G31" s="10">
        <v>11.25</v>
      </c>
      <c r="H31" s="9">
        <v>60</v>
      </c>
      <c r="I31" s="10">
        <v>49.89</v>
      </c>
      <c r="J31" s="9">
        <v>55.9</v>
      </c>
      <c r="K31" s="10">
        <v>45.86</v>
      </c>
      <c r="L31" s="9">
        <f t="shared" si="0"/>
        <v>39.519999999999996</v>
      </c>
      <c r="M31" s="10">
        <f t="shared" si="1"/>
        <v>38.64</v>
      </c>
      <c r="N31" s="9">
        <f t="shared" si="2"/>
        <v>35.42</v>
      </c>
      <c r="O31" s="10">
        <f t="shared" si="3"/>
        <v>34.61</v>
      </c>
      <c r="P31" s="9">
        <f t="shared" si="4"/>
        <v>4.0999999999999943</v>
      </c>
      <c r="Q31" s="10">
        <f t="shared" si="5"/>
        <v>4.0300000000000011</v>
      </c>
      <c r="R31" s="9">
        <f t="shared" si="6"/>
        <v>11.575381140598514</v>
      </c>
      <c r="S31" s="10">
        <f t="shared" si="6"/>
        <v>11.644033516324766</v>
      </c>
      <c r="T31" s="10">
        <f t="shared" si="7"/>
        <v>11.60970732846164</v>
      </c>
      <c r="U31" s="7">
        <f t="shared" si="8"/>
        <v>11.575381140598514</v>
      </c>
      <c r="V31" s="27">
        <f t="shared" si="8"/>
        <v>11.644033516324766</v>
      </c>
      <c r="W31" s="9">
        <f>(U31/'Constantes e Funções Auxiliares'!$J$21)*'Constantes e Funções Auxiliares'!$I$21</f>
        <v>21.239231450639476</v>
      </c>
      <c r="X31" s="31">
        <f>(V31/'Constantes e Funções Auxiliares'!$J$21)*'Constantes e Funções Auxiliares'!$I$21</f>
        <v>21.365199112522507</v>
      </c>
      <c r="Y31" s="34">
        <f t="shared" si="9"/>
        <v>21.302215281580992</v>
      </c>
    </row>
    <row r="32" spans="1:25" ht="14.95" thickBot="1" x14ac:dyDescent="0.3">
      <c r="A32" s="17" t="s">
        <v>29</v>
      </c>
      <c r="B32" s="17">
        <v>1</v>
      </c>
      <c r="C32" s="100"/>
      <c r="D32" s="104"/>
      <c r="E32" s="4">
        <v>30</v>
      </c>
      <c r="F32" s="11">
        <v>11.16</v>
      </c>
      <c r="G32" s="12">
        <v>11.25</v>
      </c>
      <c r="H32" s="11">
        <v>41.21</v>
      </c>
      <c r="I32" s="12">
        <v>50.01</v>
      </c>
      <c r="J32" s="11">
        <v>37.68</v>
      </c>
      <c r="K32" s="12">
        <v>45.52</v>
      </c>
      <c r="L32" s="11">
        <f t="shared" si="0"/>
        <v>30.05</v>
      </c>
      <c r="M32" s="12">
        <f t="shared" si="1"/>
        <v>38.76</v>
      </c>
      <c r="N32" s="11">
        <f t="shared" si="2"/>
        <v>26.52</v>
      </c>
      <c r="O32" s="12">
        <f t="shared" si="3"/>
        <v>34.270000000000003</v>
      </c>
      <c r="P32" s="11">
        <f t="shared" si="4"/>
        <v>3.5300000000000011</v>
      </c>
      <c r="Q32" s="12">
        <f t="shared" si="5"/>
        <v>4.4899999999999949</v>
      </c>
      <c r="R32" s="11">
        <f t="shared" si="6"/>
        <v>13.310708898944199</v>
      </c>
      <c r="S32" s="12">
        <f t="shared" si="6"/>
        <v>13.101838342573663</v>
      </c>
      <c r="T32" s="12">
        <f t="shared" si="7"/>
        <v>13.206273620758932</v>
      </c>
      <c r="U32" s="7">
        <f t="shared" si="8"/>
        <v>13.310708898944199</v>
      </c>
      <c r="V32" s="27">
        <f t="shared" si="8"/>
        <v>13.101838342573663</v>
      </c>
      <c r="W32" s="11">
        <f>(U32/'Constantes e Funções Auxiliares'!$J$21)*'Constantes e Funções Auxiliares'!$I$21</f>
        <v>24.423319080631558</v>
      </c>
      <c r="X32" s="32">
        <f>(V32/'Constantes e Funções Auxiliares'!$J$21)*'Constantes e Funções Auxiliares'!$I$21</f>
        <v>24.04007035334617</v>
      </c>
      <c r="Y32" s="35">
        <f t="shared" si="9"/>
        <v>24.231694716988862</v>
      </c>
    </row>
    <row r="33" spans="1:25" ht="14.95" thickBot="1" x14ac:dyDescent="0.3">
      <c r="A33" s="17" t="s">
        <v>30</v>
      </c>
      <c r="B33" s="17">
        <v>2</v>
      </c>
      <c r="C33" s="100"/>
      <c r="D33" s="102">
        <v>4</v>
      </c>
      <c r="E33" s="2">
        <v>5</v>
      </c>
      <c r="F33" s="7">
        <v>11.07</v>
      </c>
      <c r="G33" s="8">
        <v>8.77</v>
      </c>
      <c r="H33" s="7">
        <v>37.909999999999997</v>
      </c>
      <c r="I33" s="8">
        <v>38.83</v>
      </c>
      <c r="J33" s="7">
        <v>34.24</v>
      </c>
      <c r="K33" s="8">
        <v>34.82</v>
      </c>
      <c r="L33" s="7">
        <f t="shared" si="0"/>
        <v>26.839999999999996</v>
      </c>
      <c r="M33" s="8">
        <f t="shared" si="1"/>
        <v>30.06</v>
      </c>
      <c r="N33" s="7">
        <f t="shared" si="2"/>
        <v>23.17</v>
      </c>
      <c r="O33" s="8">
        <f t="shared" si="3"/>
        <v>26.05</v>
      </c>
      <c r="P33" s="7">
        <f t="shared" si="4"/>
        <v>3.6699999999999946</v>
      </c>
      <c r="Q33" s="8">
        <f t="shared" si="5"/>
        <v>4.009999999999998</v>
      </c>
      <c r="R33" s="7">
        <f t="shared" si="6"/>
        <v>15.839447561501919</v>
      </c>
      <c r="S33" s="8">
        <f t="shared" si="6"/>
        <v>15.39347408829174</v>
      </c>
      <c r="T33" s="8">
        <f t="shared" si="7"/>
        <v>15.61646082489683</v>
      </c>
      <c r="U33" s="7">
        <f t="shared" si="8"/>
        <v>15.839447561501919</v>
      </c>
      <c r="V33" s="27">
        <f t="shared" si="8"/>
        <v>15.39347408829174</v>
      </c>
      <c r="W33" s="7">
        <f>(U33/'Constantes e Funções Auxiliares'!$J$21)*'Constantes e Funções Auxiliares'!$I$21</f>
        <v>29.063206534865905</v>
      </c>
      <c r="X33" s="30">
        <f>(V33/'Constantes e Funções Auxiliares'!$J$21)*'Constantes e Funções Auxiliares'!$I$21</f>
        <v>28.244906584021539</v>
      </c>
      <c r="Y33" s="27">
        <f t="shared" si="9"/>
        <v>28.654056559443724</v>
      </c>
    </row>
    <row r="34" spans="1:25" ht="14.95" thickBot="1" x14ac:dyDescent="0.3">
      <c r="A34" s="17" t="s">
        <v>31</v>
      </c>
      <c r="B34" s="17">
        <v>3</v>
      </c>
      <c r="C34" s="100"/>
      <c r="D34" s="103"/>
      <c r="E34" s="3">
        <v>15</v>
      </c>
      <c r="F34" s="9">
        <v>11.03</v>
      </c>
      <c r="G34" s="10">
        <v>11.16</v>
      </c>
      <c r="H34" s="9">
        <v>57.81</v>
      </c>
      <c r="I34" s="10">
        <v>47.94</v>
      </c>
      <c r="J34" s="9">
        <v>52.29</v>
      </c>
      <c r="K34" s="10">
        <v>43.99</v>
      </c>
      <c r="L34" s="9">
        <f t="shared" si="0"/>
        <v>46.78</v>
      </c>
      <c r="M34" s="10">
        <f t="shared" si="1"/>
        <v>36.78</v>
      </c>
      <c r="N34" s="9">
        <f t="shared" si="2"/>
        <v>41.26</v>
      </c>
      <c r="O34" s="10">
        <f t="shared" si="3"/>
        <v>32.83</v>
      </c>
      <c r="P34" s="9">
        <f t="shared" si="4"/>
        <v>5.5200000000000031</v>
      </c>
      <c r="Q34" s="10">
        <f t="shared" si="5"/>
        <v>3.9500000000000028</v>
      </c>
      <c r="R34" s="9">
        <f t="shared" si="6"/>
        <v>13.378574890935537</v>
      </c>
      <c r="S34" s="10">
        <f t="shared" si="6"/>
        <v>12.031678342978992</v>
      </c>
      <c r="T34" s="10">
        <f t="shared" si="7"/>
        <v>12.705126616957266</v>
      </c>
      <c r="U34" s="7">
        <f t="shared" si="8"/>
        <v>13.378574890935537</v>
      </c>
      <c r="V34" s="27">
        <f t="shared" si="8"/>
        <v>12.031678342978992</v>
      </c>
      <c r="W34" s="9">
        <f>(U34/'Constantes e Funções Auxiliares'!$J$21)*'Constantes e Funções Auxiliares'!$I$21</f>
        <v>24.547843836578966</v>
      </c>
      <c r="X34" s="31">
        <f>(V34/'Constantes e Funções Auxiliares'!$J$21)*'Constantes e Funções Auxiliares'!$I$21</f>
        <v>22.076474023814662</v>
      </c>
      <c r="Y34" s="34">
        <f t="shared" si="9"/>
        <v>23.312158930196816</v>
      </c>
    </row>
    <row r="35" spans="1:25" ht="14.95" thickBot="1" x14ac:dyDescent="0.3">
      <c r="A35" s="17" t="s">
        <v>32</v>
      </c>
      <c r="B35" s="17">
        <v>4</v>
      </c>
      <c r="C35" s="100"/>
      <c r="D35" s="104"/>
      <c r="E35" s="4">
        <v>30</v>
      </c>
      <c r="F35" s="11">
        <v>11.13</v>
      </c>
      <c r="G35" s="12">
        <v>11.26</v>
      </c>
      <c r="H35" s="11">
        <v>52.35</v>
      </c>
      <c r="I35" s="12">
        <v>57.24</v>
      </c>
      <c r="J35" s="11">
        <v>48.71</v>
      </c>
      <c r="K35" s="12">
        <v>52.49</v>
      </c>
      <c r="L35" s="11">
        <f t="shared" si="0"/>
        <v>41.22</v>
      </c>
      <c r="M35" s="12">
        <f t="shared" si="1"/>
        <v>45.980000000000004</v>
      </c>
      <c r="N35" s="11">
        <f t="shared" si="2"/>
        <v>37.58</v>
      </c>
      <c r="O35" s="12">
        <f t="shared" si="3"/>
        <v>41.230000000000004</v>
      </c>
      <c r="P35" s="11">
        <f t="shared" si="4"/>
        <v>3.6400000000000006</v>
      </c>
      <c r="Q35" s="12">
        <f t="shared" si="5"/>
        <v>4.75</v>
      </c>
      <c r="R35" s="11">
        <f t="shared" si="6"/>
        <v>9.6860031931878687</v>
      </c>
      <c r="S35" s="12">
        <f t="shared" si="6"/>
        <v>11.52073732718894</v>
      </c>
      <c r="T35" s="12">
        <f t="shared" si="7"/>
        <v>10.603370260188404</v>
      </c>
      <c r="U35" s="7">
        <f t="shared" si="8"/>
        <v>9.6860031931878687</v>
      </c>
      <c r="V35" s="27">
        <f t="shared" si="8"/>
        <v>11.52073732718894</v>
      </c>
      <c r="W35" s="11">
        <f>(U35/'Constantes e Funções Auxiliares'!$J$21)*'Constantes e Funções Auxiliares'!$I$21</f>
        <v>17.772482923280492</v>
      </c>
      <c r="X35" s="32">
        <f>(V35/'Constantes e Funções Auxiliares'!$J$21)*'Constantes e Funções Auxiliares'!$I$21</f>
        <v>21.138967572823741</v>
      </c>
      <c r="Y35" s="35">
        <f t="shared" si="9"/>
        <v>19.455725248052119</v>
      </c>
    </row>
    <row r="36" spans="1:25" ht="14.95" thickBot="1" x14ac:dyDescent="0.3">
      <c r="A36" s="17" t="s">
        <v>33</v>
      </c>
      <c r="B36" s="17">
        <v>5</v>
      </c>
      <c r="C36" s="100"/>
      <c r="D36" s="102">
        <v>5</v>
      </c>
      <c r="E36" s="2">
        <v>5</v>
      </c>
      <c r="F36" s="7">
        <v>11.13</v>
      </c>
      <c r="G36" s="8">
        <v>10.220000000000001</v>
      </c>
      <c r="H36" s="7">
        <v>38.57</v>
      </c>
      <c r="I36" s="8">
        <v>57.44</v>
      </c>
      <c r="J36" s="7">
        <v>35.96</v>
      </c>
      <c r="K36" s="8">
        <v>52.87</v>
      </c>
      <c r="L36" s="7">
        <f t="shared" si="0"/>
        <v>27.439999999999998</v>
      </c>
      <c r="M36" s="8">
        <f t="shared" si="1"/>
        <v>47.22</v>
      </c>
      <c r="N36" s="7">
        <f t="shared" si="2"/>
        <v>24.83</v>
      </c>
      <c r="O36" s="8">
        <f t="shared" si="3"/>
        <v>42.65</v>
      </c>
      <c r="P36" s="7">
        <f t="shared" si="4"/>
        <v>2.6099999999999994</v>
      </c>
      <c r="Q36" s="8">
        <f t="shared" si="5"/>
        <v>4.57</v>
      </c>
      <c r="R36" s="7">
        <f t="shared" si="6"/>
        <v>10.511478050745064</v>
      </c>
      <c r="S36" s="8">
        <f t="shared" si="6"/>
        <v>10.715123094958971</v>
      </c>
      <c r="T36" s="8">
        <f t="shared" si="7"/>
        <v>10.613300572852017</v>
      </c>
      <c r="U36" s="7">
        <f t="shared" si="8"/>
        <v>10.511478050745064</v>
      </c>
      <c r="V36" s="27">
        <f t="shared" si="8"/>
        <v>10.715123094958971</v>
      </c>
      <c r="W36" s="7">
        <f>(U36/'Constantes e Funções Auxiliares'!$J$21)*'Constantes e Funções Auxiliares'!$I$21</f>
        <v>19.287115689440483</v>
      </c>
      <c r="X36" s="30">
        <f>(V36/'Constantes e Funções Auxiliares'!$J$21)*'Constantes e Funções Auxiliares'!$I$21</f>
        <v>19.660776321025633</v>
      </c>
      <c r="Y36" s="27">
        <f t="shared" si="9"/>
        <v>19.47394600523306</v>
      </c>
    </row>
    <row r="37" spans="1:25" ht="14.95" thickBot="1" x14ac:dyDescent="0.3">
      <c r="A37" s="17" t="s">
        <v>34</v>
      </c>
      <c r="B37" s="17">
        <v>6</v>
      </c>
      <c r="C37" s="100"/>
      <c r="D37" s="103"/>
      <c r="E37" s="3">
        <v>15</v>
      </c>
      <c r="F37" s="9">
        <v>10.55</v>
      </c>
      <c r="G37" s="10">
        <v>20.96</v>
      </c>
      <c r="H37" s="9">
        <v>56.06</v>
      </c>
      <c r="I37" s="10">
        <v>67.97</v>
      </c>
      <c r="J37" s="9">
        <v>51.84</v>
      </c>
      <c r="K37" s="10">
        <v>63.53</v>
      </c>
      <c r="L37" s="9">
        <f t="shared" si="0"/>
        <v>45.510000000000005</v>
      </c>
      <c r="M37" s="10">
        <f t="shared" si="1"/>
        <v>47.01</v>
      </c>
      <c r="N37" s="9">
        <f t="shared" si="2"/>
        <v>41.290000000000006</v>
      </c>
      <c r="O37" s="10">
        <f t="shared" si="3"/>
        <v>42.57</v>
      </c>
      <c r="P37" s="9">
        <f t="shared" si="4"/>
        <v>4.2199999999999989</v>
      </c>
      <c r="Q37" s="10">
        <f t="shared" si="5"/>
        <v>4.4399999999999977</v>
      </c>
      <c r="R37" s="9">
        <f t="shared" si="6"/>
        <v>10.220392346815204</v>
      </c>
      <c r="S37" s="10">
        <f t="shared" si="6"/>
        <v>10.429880197322053</v>
      </c>
      <c r="T37" s="10">
        <f t="shared" si="7"/>
        <v>10.325136272068629</v>
      </c>
      <c r="U37" s="7">
        <f t="shared" si="8"/>
        <v>10.220392346815204</v>
      </c>
      <c r="V37" s="27">
        <f t="shared" si="8"/>
        <v>10.429880197322053</v>
      </c>
      <c r="W37" s="9">
        <f>(U37/'Constantes e Funções Auxiliares'!$J$21)*'Constantes e Funções Auxiliares'!$I$21</f>
        <v>18.75301348039487</v>
      </c>
      <c r="X37" s="31">
        <f>(V37/'Constantes e Funções Auxiliares'!$J$21)*'Constantes e Funções Auxiliares'!$I$21</f>
        <v>19.137394857471655</v>
      </c>
      <c r="Y37" s="34">
        <f t="shared" si="9"/>
        <v>18.945204168933262</v>
      </c>
    </row>
    <row r="38" spans="1:25" ht="14.95" thickBot="1" x14ac:dyDescent="0.3">
      <c r="A38" s="17" t="s">
        <v>35</v>
      </c>
      <c r="B38" s="17">
        <v>7</v>
      </c>
      <c r="C38" s="101"/>
      <c r="D38" s="104"/>
      <c r="E38" s="4">
        <v>30</v>
      </c>
      <c r="F38" s="11">
        <v>10.96</v>
      </c>
      <c r="G38" s="12">
        <v>20.91</v>
      </c>
      <c r="H38" s="11">
        <v>56.05</v>
      </c>
      <c r="I38" s="12">
        <v>59.89</v>
      </c>
      <c r="J38" s="11">
        <v>51.48</v>
      </c>
      <c r="K38" s="12">
        <v>55.98</v>
      </c>
      <c r="L38" s="11">
        <f t="shared" si="0"/>
        <v>45.089999999999996</v>
      </c>
      <c r="M38" s="12">
        <f t="shared" si="1"/>
        <v>38.980000000000004</v>
      </c>
      <c r="N38" s="11">
        <f t="shared" si="2"/>
        <v>40.519999999999996</v>
      </c>
      <c r="O38" s="12">
        <f t="shared" si="3"/>
        <v>35.069999999999993</v>
      </c>
      <c r="P38" s="11">
        <f t="shared" si="4"/>
        <v>4.57</v>
      </c>
      <c r="Q38" s="12">
        <f t="shared" si="5"/>
        <v>3.9100000000000108</v>
      </c>
      <c r="R38" s="11">
        <f t="shared" si="6"/>
        <v>11.278381046396843</v>
      </c>
      <c r="S38" s="12">
        <f t="shared" si="6"/>
        <v>11.14913031080699</v>
      </c>
      <c r="T38" s="12">
        <f t="shared" si="7"/>
        <v>11.213755678601917</v>
      </c>
      <c r="U38" s="7">
        <f t="shared" si="8"/>
        <v>11.278381046396843</v>
      </c>
      <c r="V38" s="27">
        <f t="shared" si="8"/>
        <v>11.14913031080699</v>
      </c>
      <c r="W38" s="11">
        <f>(U38/'Constantes e Funções Auxiliares'!$J$21)*'Constantes e Funções Auxiliares'!$I$21</f>
        <v>20.694277149352004</v>
      </c>
      <c r="X38" s="32">
        <f>(V38/'Constantes e Funções Auxiliares'!$J$21)*'Constantes e Funções Auxiliares'!$I$21</f>
        <v>20.4571198363431</v>
      </c>
      <c r="Y38" s="35">
        <f t="shared" si="9"/>
        <v>20.57569849284755</v>
      </c>
    </row>
    <row r="39" spans="1:25" ht="14.95" thickBot="1" x14ac:dyDescent="0.3">
      <c r="A39" s="17" t="s">
        <v>36</v>
      </c>
      <c r="B39" s="17">
        <v>8</v>
      </c>
      <c r="C39" s="99">
        <v>52</v>
      </c>
      <c r="D39" s="102">
        <v>1</v>
      </c>
      <c r="E39" s="2">
        <v>5</v>
      </c>
      <c r="F39" s="7">
        <v>8.81</v>
      </c>
      <c r="G39" s="8">
        <v>11.89</v>
      </c>
      <c r="H39" s="7">
        <v>32.74</v>
      </c>
      <c r="I39" s="8">
        <v>52.67</v>
      </c>
      <c r="J39" s="7">
        <v>29.61</v>
      </c>
      <c r="K39" s="8">
        <v>46.88</v>
      </c>
      <c r="L39" s="7">
        <f t="shared" si="0"/>
        <v>23.93</v>
      </c>
      <c r="M39" s="8">
        <f t="shared" si="1"/>
        <v>40.78</v>
      </c>
      <c r="N39" s="7">
        <f t="shared" si="2"/>
        <v>20.799999999999997</v>
      </c>
      <c r="O39" s="8">
        <f t="shared" si="3"/>
        <v>34.99</v>
      </c>
      <c r="P39" s="7">
        <f t="shared" si="4"/>
        <v>3.1300000000000026</v>
      </c>
      <c r="Q39" s="8">
        <f t="shared" si="5"/>
        <v>5.7899999999999991</v>
      </c>
      <c r="R39" s="7">
        <f t="shared" si="6"/>
        <v>15.048076923076936</v>
      </c>
      <c r="S39" s="8">
        <f t="shared" si="6"/>
        <v>16.547585024292651</v>
      </c>
      <c r="T39" s="8">
        <f t="shared" si="7"/>
        <v>15.797830973684793</v>
      </c>
      <c r="U39" s="7">
        <f t="shared" si="8"/>
        <v>15.048076923076936</v>
      </c>
      <c r="V39" s="27">
        <f t="shared" si="8"/>
        <v>16.547585024292651</v>
      </c>
      <c r="W39" s="7">
        <f>(U39/'Constantes e Funções Auxiliares'!$J$21)*'Constantes e Funções Auxiliares'!$I$21</f>
        <v>27.611150317572356</v>
      </c>
      <c r="X39" s="30">
        <f>(V39/'Constantes e Funções Auxiliares'!$J$21)*'Constantes e Funções Auxiliares'!$I$21</f>
        <v>30.36254132897734</v>
      </c>
      <c r="Y39" s="27">
        <f t="shared" si="9"/>
        <v>28.986845823274848</v>
      </c>
    </row>
    <row r="40" spans="1:25" ht="14.95" thickBot="1" x14ac:dyDescent="0.3">
      <c r="A40" s="17" t="s">
        <v>39</v>
      </c>
      <c r="B40" s="17">
        <v>9</v>
      </c>
      <c r="C40" s="100"/>
      <c r="D40" s="103"/>
      <c r="E40" s="3">
        <v>15</v>
      </c>
      <c r="F40" s="9">
        <v>23.68</v>
      </c>
      <c r="G40" s="10">
        <v>10.8</v>
      </c>
      <c r="H40" s="9">
        <v>61.11</v>
      </c>
      <c r="I40" s="10">
        <v>44.1</v>
      </c>
      <c r="J40" s="9">
        <v>56.17</v>
      </c>
      <c r="K40" s="10">
        <v>39.92</v>
      </c>
      <c r="L40" s="9">
        <f t="shared" si="0"/>
        <v>37.43</v>
      </c>
      <c r="M40" s="10">
        <f t="shared" si="1"/>
        <v>33.299999999999997</v>
      </c>
      <c r="N40" s="9">
        <f t="shared" si="2"/>
        <v>32.49</v>
      </c>
      <c r="O40" s="10">
        <f t="shared" si="3"/>
        <v>29.12</v>
      </c>
      <c r="P40" s="9">
        <f t="shared" si="4"/>
        <v>4.9399999999999977</v>
      </c>
      <c r="Q40" s="10">
        <f t="shared" si="5"/>
        <v>4.1799999999999962</v>
      </c>
      <c r="R40" s="9">
        <f t="shared" si="6"/>
        <v>15.204678362573091</v>
      </c>
      <c r="S40" s="10">
        <f t="shared" si="6"/>
        <v>14.35439560439559</v>
      </c>
      <c r="T40" s="10">
        <f t="shared" si="7"/>
        <v>14.779536983484341</v>
      </c>
      <c r="U40" s="7">
        <f t="shared" si="8"/>
        <v>15.204678362573091</v>
      </c>
      <c r="V40" s="27">
        <f t="shared" si="8"/>
        <v>14.35439560439559</v>
      </c>
      <c r="W40" s="9">
        <f>(U40/'Constantes e Funções Auxiliares'!$J$21)*'Constantes e Funções Auxiliares'!$I$21</f>
        <v>27.89849240839099</v>
      </c>
      <c r="X40" s="31">
        <f>(V40/'Constantes e Funções Auxiliares'!$J$21)*'Constantes e Funções Auxiliares'!$I$21</f>
        <v>26.338340558524017</v>
      </c>
      <c r="Y40" s="34">
        <f t="shared" si="9"/>
        <v>27.118416483457501</v>
      </c>
    </row>
    <row r="41" spans="1:25" ht="14.95" thickBot="1" x14ac:dyDescent="0.3">
      <c r="A41" s="17" t="s">
        <v>40</v>
      </c>
      <c r="B41" s="17">
        <v>10</v>
      </c>
      <c r="C41" s="100"/>
      <c r="D41" s="104"/>
      <c r="E41" s="4">
        <v>30</v>
      </c>
      <c r="F41" s="11">
        <v>8.7799999999999994</v>
      </c>
      <c r="G41" s="12">
        <v>11.1</v>
      </c>
      <c r="H41" s="11">
        <v>44.06</v>
      </c>
      <c r="I41" s="12">
        <v>43.45</v>
      </c>
      <c r="J41" s="11">
        <v>40.04</v>
      </c>
      <c r="K41" s="12">
        <v>39.76</v>
      </c>
      <c r="L41" s="11">
        <f t="shared" si="0"/>
        <v>35.28</v>
      </c>
      <c r="M41" s="12">
        <f t="shared" si="1"/>
        <v>32.35</v>
      </c>
      <c r="N41" s="11">
        <f t="shared" si="2"/>
        <v>31.259999999999998</v>
      </c>
      <c r="O41" s="12">
        <f t="shared" si="3"/>
        <v>28.659999999999997</v>
      </c>
      <c r="P41" s="11">
        <f t="shared" si="4"/>
        <v>4.0200000000000031</v>
      </c>
      <c r="Q41" s="12">
        <f t="shared" si="5"/>
        <v>3.6900000000000048</v>
      </c>
      <c r="R41" s="11">
        <f t="shared" si="6"/>
        <v>12.859884836852217</v>
      </c>
      <c r="S41" s="12">
        <f t="shared" si="6"/>
        <v>12.875087229588294</v>
      </c>
      <c r="T41" s="12">
        <f t="shared" si="7"/>
        <v>12.867486033220256</v>
      </c>
      <c r="U41" s="7">
        <f t="shared" si="8"/>
        <v>12.859884836852217</v>
      </c>
      <c r="V41" s="27">
        <f t="shared" si="8"/>
        <v>12.875087229588294</v>
      </c>
      <c r="W41" s="11">
        <f>(U41/'Constantes e Funções Auxiliares'!$J$21)*'Constantes e Funções Auxiliares'!$I$21</f>
        <v>23.596118966701315</v>
      </c>
      <c r="X41" s="32">
        <f>(V41/'Constantes e Funções Auxiliares'!$J$21)*'Constantes e Funções Auxiliares'!$I$21</f>
        <v>23.62401326529962</v>
      </c>
      <c r="Y41" s="35">
        <f t="shared" si="9"/>
        <v>23.610066116000468</v>
      </c>
    </row>
    <row r="42" spans="1:25" ht="14.95" thickBot="1" x14ac:dyDescent="0.3">
      <c r="A42" s="17" t="s">
        <v>41</v>
      </c>
      <c r="B42" s="17">
        <v>11</v>
      </c>
      <c r="C42" s="100"/>
      <c r="D42" s="102">
        <v>2</v>
      </c>
      <c r="E42" s="2">
        <v>5</v>
      </c>
      <c r="F42" s="7">
        <v>17.41</v>
      </c>
      <c r="G42" s="8">
        <v>18.03</v>
      </c>
      <c r="H42" s="7">
        <v>55.83</v>
      </c>
      <c r="I42" s="8">
        <v>58.97</v>
      </c>
      <c r="J42" s="7">
        <v>51.2</v>
      </c>
      <c r="K42" s="8">
        <v>54.04</v>
      </c>
      <c r="L42" s="7">
        <f t="shared" si="0"/>
        <v>38.42</v>
      </c>
      <c r="M42" s="8">
        <f t="shared" si="1"/>
        <v>40.94</v>
      </c>
      <c r="N42" s="7">
        <f t="shared" si="2"/>
        <v>33.790000000000006</v>
      </c>
      <c r="O42" s="8">
        <f t="shared" si="3"/>
        <v>36.01</v>
      </c>
      <c r="P42" s="7">
        <f t="shared" si="4"/>
        <v>4.6299999999999955</v>
      </c>
      <c r="Q42" s="8">
        <f t="shared" si="5"/>
        <v>4.93</v>
      </c>
      <c r="R42" s="7">
        <f t="shared" si="6"/>
        <v>13.702278780704336</v>
      </c>
      <c r="S42" s="8">
        <f t="shared" si="6"/>
        <v>13.690641488475425</v>
      </c>
      <c r="T42" s="8">
        <f t="shared" si="7"/>
        <v>13.696460134589881</v>
      </c>
      <c r="U42" s="7">
        <f t="shared" si="8"/>
        <v>13.702278780704336</v>
      </c>
      <c r="V42" s="27">
        <f t="shared" si="8"/>
        <v>13.690641488475425</v>
      </c>
      <c r="W42" s="7">
        <f>(U42/'Constantes e Funções Auxiliares'!$J$21)*'Constantes e Funções Auxiliares'!$I$21</f>
        <v>25.141795927897864</v>
      </c>
      <c r="X42" s="30">
        <f>(V42/'Constantes e Funções Auxiliares'!$J$21)*'Constantes e Funções Auxiliares'!$I$21</f>
        <v>25.120443098120045</v>
      </c>
      <c r="Y42" s="27">
        <f t="shared" si="9"/>
        <v>25.131119513008954</v>
      </c>
    </row>
    <row r="43" spans="1:25" ht="14.95" thickBot="1" x14ac:dyDescent="0.3">
      <c r="A43" s="17" t="s">
        <v>37</v>
      </c>
      <c r="B43" s="17">
        <v>12</v>
      </c>
      <c r="C43" s="100"/>
      <c r="D43" s="103"/>
      <c r="E43" s="3">
        <v>15</v>
      </c>
      <c r="F43" s="9">
        <v>17.739999999999998</v>
      </c>
      <c r="G43" s="10">
        <v>17.329999999999998</v>
      </c>
      <c r="H43" s="9">
        <v>46.08</v>
      </c>
      <c r="I43" s="10">
        <v>43.78</v>
      </c>
      <c r="J43" s="9">
        <v>42.36</v>
      </c>
      <c r="K43" s="10">
        <v>40.78</v>
      </c>
      <c r="L43" s="9">
        <f t="shared" si="0"/>
        <v>28.34</v>
      </c>
      <c r="M43" s="10">
        <f t="shared" si="1"/>
        <v>26.450000000000003</v>
      </c>
      <c r="N43" s="9">
        <f t="shared" si="2"/>
        <v>24.62</v>
      </c>
      <c r="O43" s="10">
        <f t="shared" si="3"/>
        <v>23.450000000000003</v>
      </c>
      <c r="P43" s="9">
        <f t="shared" si="4"/>
        <v>3.7199999999999989</v>
      </c>
      <c r="Q43" s="10">
        <f t="shared" si="5"/>
        <v>3</v>
      </c>
      <c r="R43" s="9">
        <f t="shared" si="6"/>
        <v>15.109666937449223</v>
      </c>
      <c r="S43" s="10">
        <f t="shared" si="6"/>
        <v>12.793176972281447</v>
      </c>
      <c r="T43" s="10">
        <f t="shared" si="7"/>
        <v>13.951421954865335</v>
      </c>
      <c r="U43" s="7">
        <f t="shared" si="8"/>
        <v>15.109666937449223</v>
      </c>
      <c r="V43" s="27">
        <f t="shared" si="8"/>
        <v>12.793176972281447</v>
      </c>
      <c r="W43" s="9">
        <f>(U43/'Constantes e Funções Auxiliares'!$J$21)*'Constantes e Funções Auxiliares'!$I$21</f>
        <v>27.724159518255455</v>
      </c>
      <c r="X43" s="31">
        <f>(V43/'Constantes e Funções Auxiliares'!$J$21)*'Constantes e Funções Auxiliares'!$I$21</f>
        <v>23.473719215195313</v>
      </c>
      <c r="Y43" s="34">
        <f t="shared" si="9"/>
        <v>25.598939366725382</v>
      </c>
    </row>
    <row r="44" spans="1:25" ht="14.95" thickBot="1" x14ac:dyDescent="0.3">
      <c r="A44" s="17" t="s">
        <v>38</v>
      </c>
      <c r="B44" s="17">
        <v>13</v>
      </c>
      <c r="C44" s="100"/>
      <c r="D44" s="104"/>
      <c r="E44" s="4">
        <v>30</v>
      </c>
      <c r="F44" s="11">
        <v>8.7899999999999991</v>
      </c>
      <c r="G44" s="12">
        <v>12.77</v>
      </c>
      <c r="H44" s="11">
        <v>33.72</v>
      </c>
      <c r="I44" s="12">
        <v>53.78</v>
      </c>
      <c r="J44" s="11">
        <v>30.71</v>
      </c>
      <c r="K44" s="12">
        <v>48.75</v>
      </c>
      <c r="L44" s="11">
        <f t="shared" si="0"/>
        <v>24.93</v>
      </c>
      <c r="M44" s="12">
        <f t="shared" si="1"/>
        <v>41.010000000000005</v>
      </c>
      <c r="N44" s="11">
        <f t="shared" si="2"/>
        <v>21.92</v>
      </c>
      <c r="O44" s="12">
        <f t="shared" si="3"/>
        <v>35.980000000000004</v>
      </c>
      <c r="P44" s="11">
        <f t="shared" si="4"/>
        <v>3.009999999999998</v>
      </c>
      <c r="Q44" s="12">
        <f t="shared" si="5"/>
        <v>5.0300000000000011</v>
      </c>
      <c r="R44" s="11">
        <f t="shared" si="6"/>
        <v>13.731751824817509</v>
      </c>
      <c r="S44" s="12">
        <f t="shared" si="6"/>
        <v>13.979988882712618</v>
      </c>
      <c r="T44" s="12">
        <f t="shared" si="7"/>
        <v>13.855870353765063</v>
      </c>
      <c r="U44" s="7">
        <f t="shared" si="8"/>
        <v>13.731751824817509</v>
      </c>
      <c r="V44" s="27">
        <f t="shared" si="8"/>
        <v>13.979988882712618</v>
      </c>
      <c r="W44" s="11">
        <f>(U44/'Constantes e Funções Auxiliares'!$J$21)*'Constantes e Funções Auxiliares'!$I$21</f>
        <v>25.195874907922033</v>
      </c>
      <c r="X44" s="32">
        <f>(V44/'Constantes e Funções Auxiliares'!$J$21)*'Constantes e Funções Auxiliares'!$I$21</f>
        <v>25.651355748096545</v>
      </c>
      <c r="Y44" s="35">
        <f t="shared" si="9"/>
        <v>25.423615328009291</v>
      </c>
    </row>
    <row r="45" spans="1:25" ht="14.95" thickBot="1" x14ac:dyDescent="0.3">
      <c r="A45" s="17" t="s">
        <v>42</v>
      </c>
      <c r="B45" s="17">
        <v>14</v>
      </c>
      <c r="C45" s="100"/>
      <c r="D45" s="102">
        <v>3</v>
      </c>
      <c r="E45" s="2">
        <v>5</v>
      </c>
      <c r="F45" s="7">
        <v>8.98</v>
      </c>
      <c r="G45" s="8">
        <v>17.43</v>
      </c>
      <c r="H45" s="7">
        <v>28.45</v>
      </c>
      <c r="I45" s="8">
        <v>38.31</v>
      </c>
      <c r="J45" s="7">
        <v>25.08</v>
      </c>
      <c r="K45" s="8">
        <v>34.56</v>
      </c>
      <c r="L45" s="7">
        <f t="shared" si="0"/>
        <v>19.47</v>
      </c>
      <c r="M45" s="8">
        <f t="shared" si="1"/>
        <v>20.880000000000003</v>
      </c>
      <c r="N45" s="7">
        <f t="shared" si="2"/>
        <v>16.099999999999998</v>
      </c>
      <c r="O45" s="8">
        <f t="shared" si="3"/>
        <v>17.130000000000003</v>
      </c>
      <c r="P45" s="7">
        <f t="shared" si="4"/>
        <v>3.370000000000001</v>
      </c>
      <c r="Q45" s="8">
        <f t="shared" si="5"/>
        <v>3.75</v>
      </c>
      <c r="R45" s="7">
        <f t="shared" si="6"/>
        <v>20.93167701863355</v>
      </c>
      <c r="S45" s="8">
        <f t="shared" si="6"/>
        <v>21.89141856392294</v>
      </c>
      <c r="T45" s="8">
        <f t="shared" si="7"/>
        <v>21.411547791278245</v>
      </c>
      <c r="U45" s="7">
        <f t="shared" si="8"/>
        <v>20.93167701863355</v>
      </c>
      <c r="V45" s="27">
        <f t="shared" si="8"/>
        <v>21.89141856392294</v>
      </c>
      <c r="W45" s="7">
        <f>(U45/'Constantes e Funções Auxiliares'!$J$21)*'Constantes e Funções Auxiliares'!$I$21</f>
        <v>38.406746823180825</v>
      </c>
      <c r="X45" s="30">
        <f>(V45/'Constantes e Funções Auxiliares'!$J$21)*'Constantes e Funções Auxiliares'!$I$21</f>
        <v>40.167740484262275</v>
      </c>
      <c r="Y45" s="27">
        <f t="shared" si="9"/>
        <v>39.287243653721546</v>
      </c>
    </row>
    <row r="46" spans="1:25" ht="14.95" thickBot="1" x14ac:dyDescent="0.3">
      <c r="A46" s="17" t="s">
        <v>43</v>
      </c>
      <c r="B46" s="17">
        <v>15</v>
      </c>
      <c r="C46" s="100"/>
      <c r="D46" s="103"/>
      <c r="E46" s="3">
        <v>15</v>
      </c>
      <c r="F46" s="9">
        <v>11.89</v>
      </c>
      <c r="G46" s="10">
        <v>9.41</v>
      </c>
      <c r="H46" s="9">
        <v>49.18</v>
      </c>
      <c r="I46" s="10">
        <v>40.68</v>
      </c>
      <c r="J46" s="9">
        <v>43.86</v>
      </c>
      <c r="K46" s="10">
        <v>36.19</v>
      </c>
      <c r="L46" s="9">
        <f t="shared" si="0"/>
        <v>37.29</v>
      </c>
      <c r="M46" s="10">
        <f t="shared" si="1"/>
        <v>31.27</v>
      </c>
      <c r="N46" s="9">
        <f t="shared" si="2"/>
        <v>31.97</v>
      </c>
      <c r="O46" s="10">
        <f t="shared" si="3"/>
        <v>26.779999999999998</v>
      </c>
      <c r="P46" s="9">
        <f t="shared" si="4"/>
        <v>5.32</v>
      </c>
      <c r="Q46" s="10">
        <f t="shared" si="5"/>
        <v>4.490000000000002</v>
      </c>
      <c r="R46" s="9">
        <f t="shared" si="6"/>
        <v>16.640600563027842</v>
      </c>
      <c r="S46" s="10">
        <f t="shared" si="6"/>
        <v>16.766243465272602</v>
      </c>
      <c r="T46" s="10">
        <f t="shared" si="7"/>
        <v>16.70342201415022</v>
      </c>
      <c r="U46" s="7">
        <f t="shared" si="8"/>
        <v>16.640600563027842</v>
      </c>
      <c r="V46" s="27">
        <f t="shared" si="8"/>
        <v>16.766243465272602</v>
      </c>
      <c r="W46" s="9">
        <f>(U46/'Constantes e Funções Auxiliares'!$J$21)*'Constantes e Funções Auxiliares'!$I$21</f>
        <v>30.53321204225292</v>
      </c>
      <c r="X46" s="31">
        <f>(V46/'Constantes e Funções Auxiliares'!$J$21)*'Constantes e Funções Auxiliares'!$I$21</f>
        <v>30.763749477564406</v>
      </c>
      <c r="Y46" s="34">
        <f t="shared" si="9"/>
        <v>30.648480759908665</v>
      </c>
    </row>
    <row r="47" spans="1:25" ht="14.95" thickBot="1" x14ac:dyDescent="0.3">
      <c r="A47" s="18" t="s">
        <v>43</v>
      </c>
      <c r="B47" s="18">
        <v>16</v>
      </c>
      <c r="C47" s="101"/>
      <c r="D47" s="104"/>
      <c r="E47" s="4">
        <v>30</v>
      </c>
      <c r="F47" s="11">
        <v>17.43</v>
      </c>
      <c r="G47" s="12">
        <v>17.16</v>
      </c>
      <c r="H47" s="11">
        <v>62.08</v>
      </c>
      <c r="I47" s="12">
        <v>56.95</v>
      </c>
      <c r="J47" s="11">
        <v>55.69</v>
      </c>
      <c r="K47" s="12">
        <v>51.26</v>
      </c>
      <c r="L47" s="11">
        <f t="shared" si="0"/>
        <v>44.65</v>
      </c>
      <c r="M47" s="12">
        <f t="shared" si="1"/>
        <v>39.790000000000006</v>
      </c>
      <c r="N47" s="11">
        <f t="shared" si="2"/>
        <v>38.26</v>
      </c>
      <c r="O47" s="12">
        <f t="shared" si="3"/>
        <v>34.099999999999994</v>
      </c>
      <c r="P47" s="11">
        <f t="shared" si="4"/>
        <v>6.3900000000000006</v>
      </c>
      <c r="Q47" s="12">
        <f t="shared" si="5"/>
        <v>5.6900000000000119</v>
      </c>
      <c r="R47" s="11">
        <f t="shared" si="6"/>
        <v>16.701515943544173</v>
      </c>
      <c r="S47" s="12">
        <f t="shared" si="6"/>
        <v>16.686217008797691</v>
      </c>
      <c r="T47" s="12">
        <f t="shared" si="7"/>
        <v>16.693866476170932</v>
      </c>
      <c r="U47" s="26">
        <f t="shared" si="8"/>
        <v>16.701515943544173</v>
      </c>
      <c r="V47" s="28">
        <f t="shared" si="8"/>
        <v>16.686217008797691</v>
      </c>
      <c r="W47" s="11">
        <f>(U47/'Constantes e Funções Auxiliares'!$J$21)*'Constantes e Funções Auxiliares'!$I$21</f>
        <v>30.644983382649858</v>
      </c>
      <c r="X47" s="32">
        <f>(V47/'Constantes e Funções Auxiliares'!$J$21)*'Constantes e Funções Auxiliares'!$I$21</f>
        <v>30.616911942748054</v>
      </c>
      <c r="Y47" s="35">
        <f t="shared" si="9"/>
        <v>30.630947662698958</v>
      </c>
    </row>
  </sheetData>
  <mergeCells count="27">
    <mergeCell ref="D12:D14"/>
    <mergeCell ref="D15:D17"/>
    <mergeCell ref="D18:D20"/>
    <mergeCell ref="D21:D23"/>
    <mergeCell ref="T4:T5"/>
    <mergeCell ref="H4:I4"/>
    <mergeCell ref="L4:M4"/>
    <mergeCell ref="J4:K4"/>
    <mergeCell ref="N4:O4"/>
    <mergeCell ref="R4:S4"/>
    <mergeCell ref="P4:Q4"/>
    <mergeCell ref="U4:V4"/>
    <mergeCell ref="W4:Y4"/>
    <mergeCell ref="C39:C47"/>
    <mergeCell ref="D39:D41"/>
    <mergeCell ref="D42:D44"/>
    <mergeCell ref="D45:D47"/>
    <mergeCell ref="F4:G4"/>
    <mergeCell ref="D24:D26"/>
    <mergeCell ref="D27:D29"/>
    <mergeCell ref="D30:D32"/>
    <mergeCell ref="D33:D35"/>
    <mergeCell ref="D36:D38"/>
    <mergeCell ref="C24:C38"/>
    <mergeCell ref="C6:C23"/>
    <mergeCell ref="D6:D8"/>
    <mergeCell ref="D9:D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B359-0C21-45D1-94BC-855C4B567805}">
  <dimension ref="A5:Y48"/>
  <sheetViews>
    <sheetView zoomScale="85" zoomScaleNormal="85" workbookViewId="0">
      <selection activeCell="I39" sqref="I39"/>
    </sheetView>
  </sheetViews>
  <sheetFormatPr defaultRowHeight="14.3" x14ac:dyDescent="0.25"/>
  <cols>
    <col min="1" max="1" width="7.75" bestFit="1" customWidth="1"/>
    <col min="2" max="2" width="8.375" bestFit="1" customWidth="1"/>
    <col min="3" max="3" width="7.625" bestFit="1" customWidth="1"/>
    <col min="4" max="4" width="5.25" bestFit="1" customWidth="1"/>
    <col min="5" max="5" width="17.75" bestFit="1" customWidth="1"/>
    <col min="6" max="6" width="17.75" customWidth="1"/>
    <col min="7" max="7" width="16.25" customWidth="1"/>
    <col min="12" max="12" width="13.625" customWidth="1"/>
    <col min="13" max="14" width="15.125" bestFit="1" customWidth="1"/>
    <col min="15" max="15" width="11.375" bestFit="1" customWidth="1"/>
  </cols>
  <sheetData>
    <row r="5" spans="1:16" ht="14.95" thickBot="1" x14ac:dyDescent="0.3"/>
    <row r="6" spans="1:16" ht="17.7" thickBot="1" x14ac:dyDescent="0.3">
      <c r="A6" s="15" t="s">
        <v>81</v>
      </c>
      <c r="B6" s="15" t="s">
        <v>54</v>
      </c>
      <c r="C6" s="1" t="s">
        <v>1</v>
      </c>
      <c r="D6" s="5" t="s">
        <v>0</v>
      </c>
      <c r="E6" s="6" t="s">
        <v>2</v>
      </c>
      <c r="F6" s="15" t="s">
        <v>114</v>
      </c>
      <c r="G6" s="15" t="s">
        <v>120</v>
      </c>
      <c r="H6" s="15" t="s">
        <v>91</v>
      </c>
      <c r="I6" s="15" t="s">
        <v>92</v>
      </c>
      <c r="J6" s="15" t="s">
        <v>110</v>
      </c>
      <c r="K6" s="15" t="s">
        <v>109</v>
      </c>
      <c r="L6" s="15" t="s">
        <v>116</v>
      </c>
      <c r="M6" s="15" t="s">
        <v>123</v>
      </c>
      <c r="N6" s="15" t="s">
        <v>124</v>
      </c>
      <c r="O6" s="15" t="s">
        <v>125</v>
      </c>
      <c r="P6" s="15" t="s">
        <v>126</v>
      </c>
    </row>
    <row r="7" spans="1:16" ht="14.95" thickBot="1" x14ac:dyDescent="0.3">
      <c r="A7" s="16" t="s">
        <v>3</v>
      </c>
      <c r="B7" s="16" t="s">
        <v>55</v>
      </c>
      <c r="C7" s="99">
        <v>2</v>
      </c>
      <c r="D7" s="102">
        <v>1</v>
      </c>
      <c r="E7" s="2">
        <v>5</v>
      </c>
      <c r="F7" s="25">
        <v>25.389338166150981</v>
      </c>
      <c r="G7" s="41">
        <f t="shared" ref="G7:G48" si="0">F7/100</f>
        <v>0.25389338166150982</v>
      </c>
      <c r="H7" s="25">
        <f>$S$37/($T$37-EXP(-$V$42/1013))</f>
        <v>1.0088279766499177</v>
      </c>
      <c r="I7" s="25">
        <f>1-$S$38*(1-EXP(-$T$38*$T$42))*(1+EXP(-$U$38*G7))</f>
        <v>0.88933010496198062</v>
      </c>
      <c r="J7" s="25">
        <f>$C$7/H7/I7</f>
        <v>2.2292043618435717</v>
      </c>
      <c r="K7" s="25">
        <f t="shared" ref="K7:K48" si="1">(1/$R$42)*($S$39+$T$39*($U$39+EXP(-$V$39*$J$7))*(($W$39+G7)/($X$39+G7)))</f>
        <v>14.839854171897265</v>
      </c>
      <c r="L7" s="38">
        <f>EXP((-2*C$7)/K7)</f>
        <v>0.76372734811477005</v>
      </c>
      <c r="M7" s="38">
        <f>L7*G7</f>
        <v>0.19390531908023609</v>
      </c>
      <c r="N7" s="110">
        <f>SUM(M7:M9)</f>
        <v>0.53124650647200511</v>
      </c>
      <c r="O7" s="110">
        <f>SUM(L7:L9)</f>
        <v>2.3301799359265685</v>
      </c>
      <c r="P7" s="107">
        <f>N7/O7</f>
        <v>0.22798518615720603</v>
      </c>
    </row>
    <row r="8" spans="1:16" ht="14.95" thickBot="1" x14ac:dyDescent="0.3">
      <c r="A8" s="17" t="s">
        <v>4</v>
      </c>
      <c r="B8" s="17" t="s">
        <v>56</v>
      </c>
      <c r="C8" s="100"/>
      <c r="D8" s="103"/>
      <c r="E8" s="3">
        <v>15</v>
      </c>
      <c r="F8" s="36">
        <v>23.701944853971124</v>
      </c>
      <c r="G8" s="41">
        <f t="shared" si="0"/>
        <v>0.23701944853971124</v>
      </c>
      <c r="H8" s="25">
        <f t="shared" ref="H8:H48" si="2">$S$37/($T$37-EXP(-$V$42/1013))</f>
        <v>1.0088279766499177</v>
      </c>
      <c r="I8" s="25">
        <f t="shared" ref="I8:I48" si="3">1-$S$38*(1-EXP(-$T$38*$T$42))*(1+EXP(-$U$38*G8))</f>
        <v>0.88770021540798982</v>
      </c>
      <c r="J8" s="36">
        <f t="shared" ref="J8:J24" si="4">$C$7/H8/I8</f>
        <v>2.2332973617550449</v>
      </c>
      <c r="K8" s="36">
        <f t="shared" si="1"/>
        <v>15.451945648288389</v>
      </c>
      <c r="L8" s="39">
        <f t="shared" ref="L8:L24" si="5">EXP((-2*C$7)/K8)</f>
        <v>0.77192562309077761</v>
      </c>
      <c r="M8" s="39">
        <f t="shared" ref="M8:M48" si="6">L8*G8</f>
        <v>0.1829613854986491</v>
      </c>
      <c r="N8" s="111"/>
      <c r="O8" s="111"/>
      <c r="P8" s="108"/>
    </row>
    <row r="9" spans="1:16" ht="14.95" thickBot="1" x14ac:dyDescent="0.3">
      <c r="A9" s="17" t="s">
        <v>5</v>
      </c>
      <c r="B9" s="17" t="s">
        <v>58</v>
      </c>
      <c r="C9" s="100"/>
      <c r="D9" s="104"/>
      <c r="E9" s="4">
        <v>30</v>
      </c>
      <c r="F9" s="37">
        <v>19.430404347236575</v>
      </c>
      <c r="G9" s="41">
        <f t="shared" si="0"/>
        <v>0.19430404347236574</v>
      </c>
      <c r="H9" s="25">
        <f t="shared" si="2"/>
        <v>1.0088279766499177</v>
      </c>
      <c r="I9" s="25">
        <f t="shared" si="3"/>
        <v>0.88223510598555221</v>
      </c>
      <c r="J9" s="37">
        <f t="shared" si="4"/>
        <v>2.2471317856767707</v>
      </c>
      <c r="K9" s="37">
        <f t="shared" si="1"/>
        <v>17.390672662053916</v>
      </c>
      <c r="L9" s="40">
        <f t="shared" si="5"/>
        <v>0.79452696472102058</v>
      </c>
      <c r="M9" s="40">
        <f t="shared" si="6"/>
        <v>0.15437980189311998</v>
      </c>
      <c r="N9" s="111"/>
      <c r="O9" s="111"/>
      <c r="P9" s="108"/>
    </row>
    <row r="10" spans="1:16" ht="14.95" thickBot="1" x14ac:dyDescent="0.3">
      <c r="A10" s="17" t="s">
        <v>6</v>
      </c>
      <c r="B10" s="17" t="s">
        <v>57</v>
      </c>
      <c r="C10" s="100"/>
      <c r="D10" s="102">
        <v>2</v>
      </c>
      <c r="E10" s="2">
        <v>5</v>
      </c>
      <c r="F10" s="25">
        <v>23.876377790746453</v>
      </c>
      <c r="G10" s="41">
        <f t="shared" si="0"/>
        <v>0.23876377790746453</v>
      </c>
      <c r="H10" s="25">
        <f t="shared" si="2"/>
        <v>1.0088279766499177</v>
      </c>
      <c r="I10" s="25">
        <f t="shared" si="3"/>
        <v>0.88788073477460061</v>
      </c>
      <c r="J10" s="25">
        <f t="shared" si="4"/>
        <v>2.2328432991659972</v>
      </c>
      <c r="K10" s="25">
        <f t="shared" si="1"/>
        <v>15.385272384826829</v>
      </c>
      <c r="L10" s="38">
        <f t="shared" si="5"/>
        <v>0.77106014670532785</v>
      </c>
      <c r="M10" s="38">
        <f t="shared" si="6"/>
        <v>0.18410123362124792</v>
      </c>
      <c r="N10" s="110">
        <f t="shared" ref="N10" si="7">SUM(M10:M12)</f>
        <v>0.49237961166276845</v>
      </c>
      <c r="O10" s="110">
        <f t="shared" ref="O10" si="8">SUM(L10:L12)</f>
        <v>2.36078952578191</v>
      </c>
      <c r="P10" s="107">
        <f t="shared" ref="P10" si="9">N10/O10</f>
        <v>0.20856565411085889</v>
      </c>
    </row>
    <row r="11" spans="1:16" ht="14.95" thickBot="1" x14ac:dyDescent="0.3">
      <c r="A11" s="17" t="s">
        <v>7</v>
      </c>
      <c r="B11" s="17" t="s">
        <v>59</v>
      </c>
      <c r="C11" s="100"/>
      <c r="D11" s="103">
        <v>2</v>
      </c>
      <c r="E11" s="3">
        <v>15</v>
      </c>
      <c r="F11" s="36">
        <v>17.755669784981116</v>
      </c>
      <c r="G11" s="41">
        <f t="shared" si="0"/>
        <v>0.17755669784981115</v>
      </c>
      <c r="H11" s="25">
        <f t="shared" si="2"/>
        <v>1.0088279766499177</v>
      </c>
      <c r="I11" s="25">
        <f t="shared" si="3"/>
        <v>0.87942960322193664</v>
      </c>
      <c r="J11" s="36">
        <f t="shared" si="4"/>
        <v>2.2543004486508478</v>
      </c>
      <c r="K11" s="36">
        <f t="shared" si="1"/>
        <v>18.355807276135945</v>
      </c>
      <c r="L11" s="39">
        <f t="shared" si="5"/>
        <v>0.80419404682461537</v>
      </c>
      <c r="M11" s="39">
        <f t="shared" si="6"/>
        <v>0.14279003938465512</v>
      </c>
      <c r="N11" s="111"/>
      <c r="O11" s="111"/>
      <c r="P11" s="108"/>
    </row>
    <row r="12" spans="1:16" ht="14.95" thickBot="1" x14ac:dyDescent="0.3">
      <c r="A12" s="17" t="s">
        <v>8</v>
      </c>
      <c r="B12" s="17" t="s">
        <v>60</v>
      </c>
      <c r="C12" s="100"/>
      <c r="D12" s="104"/>
      <c r="E12" s="4">
        <v>30</v>
      </c>
      <c r="F12" s="37">
        <v>21.06695037923307</v>
      </c>
      <c r="G12" s="41">
        <f t="shared" si="0"/>
        <v>0.21066950379233071</v>
      </c>
      <c r="H12" s="25">
        <f t="shared" si="2"/>
        <v>1.0088279766499177</v>
      </c>
      <c r="I12" s="25">
        <f t="shared" si="3"/>
        <v>0.88458724287603741</v>
      </c>
      <c r="J12" s="37">
        <f t="shared" si="4"/>
        <v>2.2411566129468459</v>
      </c>
      <c r="K12" s="37">
        <f t="shared" si="1"/>
        <v>16.570705592518284</v>
      </c>
      <c r="L12" s="40">
        <f t="shared" si="5"/>
        <v>0.78553533225196659</v>
      </c>
      <c r="M12" s="40">
        <f t="shared" si="6"/>
        <v>0.16548833865686544</v>
      </c>
      <c r="N12" s="111"/>
      <c r="O12" s="111"/>
      <c r="P12" s="108"/>
    </row>
    <row r="13" spans="1:16" ht="14.95" thickBot="1" x14ac:dyDescent="0.3">
      <c r="A13" s="17" t="s">
        <v>9</v>
      </c>
      <c r="B13" s="17" t="s">
        <v>61</v>
      </c>
      <c r="C13" s="100"/>
      <c r="D13" s="102">
        <v>3</v>
      </c>
      <c r="E13" s="2">
        <v>5</v>
      </c>
      <c r="F13" s="25">
        <v>33.374545092911376</v>
      </c>
      <c r="G13" s="41">
        <f t="shared" si="0"/>
        <v>0.33374545092911378</v>
      </c>
      <c r="H13" s="25">
        <f t="shared" si="2"/>
        <v>1.0088279766499177</v>
      </c>
      <c r="I13" s="25">
        <f t="shared" si="3"/>
        <v>0.89436894186016846</v>
      </c>
      <c r="J13" s="25">
        <f t="shared" si="4"/>
        <v>2.2166451184862428</v>
      </c>
      <c r="K13" s="25">
        <f t="shared" si="1"/>
        <v>12.687139203497978</v>
      </c>
      <c r="L13" s="38">
        <f t="shared" si="5"/>
        <v>0.72958463376113769</v>
      </c>
      <c r="M13" s="38">
        <f t="shared" si="6"/>
        <v>0.24349555258556324</v>
      </c>
      <c r="N13" s="110">
        <f t="shared" ref="N13" si="10">SUM(M13:M15)</f>
        <v>0.60447708122202104</v>
      </c>
      <c r="O13" s="110">
        <f t="shared" ref="O13" si="11">SUM(L13:L15)</f>
        <v>2.277336154804245</v>
      </c>
      <c r="P13" s="107">
        <f t="shared" ref="P13" si="12">N13/O13</f>
        <v>0.26543164475162018</v>
      </c>
    </row>
    <row r="14" spans="1:16" ht="14.95" thickBot="1" x14ac:dyDescent="0.3">
      <c r="A14" s="17" t="s">
        <v>10</v>
      </c>
      <c r="B14" s="17" t="s">
        <v>62</v>
      </c>
      <c r="C14" s="100"/>
      <c r="D14" s="103">
        <v>3</v>
      </c>
      <c r="E14" s="3">
        <v>15</v>
      </c>
      <c r="F14" s="36">
        <v>24.530405211933463</v>
      </c>
      <c r="G14" s="41">
        <f t="shared" si="0"/>
        <v>0.24530405211933462</v>
      </c>
      <c r="H14" s="25">
        <f t="shared" si="2"/>
        <v>1.0088279766499177</v>
      </c>
      <c r="I14" s="25">
        <f t="shared" si="3"/>
        <v>0.88853223148565352</v>
      </c>
      <c r="J14" s="36">
        <f t="shared" si="4"/>
        <v>2.231206115939373</v>
      </c>
      <c r="K14" s="36">
        <f t="shared" si="1"/>
        <v>15.142470435656252</v>
      </c>
      <c r="L14" s="39">
        <f t="shared" si="5"/>
        <v>0.76785244802373431</v>
      </c>
      <c r="M14" s="39">
        <f t="shared" si="6"/>
        <v>0.18835731692997279</v>
      </c>
      <c r="N14" s="111"/>
      <c r="O14" s="111"/>
      <c r="P14" s="108"/>
    </row>
    <row r="15" spans="1:16" ht="14.95" thickBot="1" x14ac:dyDescent="0.3">
      <c r="A15" s="17" t="s">
        <v>11</v>
      </c>
      <c r="B15" s="17" t="s">
        <v>63</v>
      </c>
      <c r="C15" s="100"/>
      <c r="D15" s="104"/>
      <c r="E15" s="4">
        <v>30</v>
      </c>
      <c r="F15" s="37">
        <v>22.134173212717354</v>
      </c>
      <c r="G15" s="41">
        <f t="shared" si="0"/>
        <v>0.22134173212717353</v>
      </c>
      <c r="H15" s="25">
        <f t="shared" si="2"/>
        <v>1.0088279766499177</v>
      </c>
      <c r="I15" s="25">
        <f t="shared" si="3"/>
        <v>0.88594007211914394</v>
      </c>
      <c r="J15" s="37">
        <f t="shared" si="4"/>
        <v>2.2377343699534524</v>
      </c>
      <c r="K15" s="37">
        <f t="shared" si="1"/>
        <v>16.090702567224657</v>
      </c>
      <c r="L15" s="40">
        <f t="shared" si="5"/>
        <v>0.77989907301937289</v>
      </c>
      <c r="M15" s="40">
        <f t="shared" si="6"/>
        <v>0.17262421170648498</v>
      </c>
      <c r="N15" s="111"/>
      <c r="O15" s="111"/>
      <c r="P15" s="108"/>
    </row>
    <row r="16" spans="1:16" ht="14.95" thickBot="1" x14ac:dyDescent="0.3">
      <c r="A16" s="17" t="s">
        <v>12</v>
      </c>
      <c r="B16" s="17" t="s">
        <v>64</v>
      </c>
      <c r="C16" s="100"/>
      <c r="D16" s="102">
        <v>4</v>
      </c>
      <c r="E16" s="2">
        <v>5</v>
      </c>
      <c r="F16" s="25">
        <v>15.22836111454947</v>
      </c>
      <c r="G16" s="41">
        <f t="shared" si="0"/>
        <v>0.15228361114549471</v>
      </c>
      <c r="H16" s="25">
        <f t="shared" si="2"/>
        <v>1.0088279766499177</v>
      </c>
      <c r="I16" s="25">
        <f>1-$S$38*(1-EXP(-$T$38*$T$42))*(1+EXP(-$U$38*G16))</f>
        <v>0.87428111084459859</v>
      </c>
      <c r="J16" s="25">
        <f t="shared" si="4"/>
        <v>2.2675756395844555</v>
      </c>
      <c r="K16" s="25">
        <f t="shared" si="1"/>
        <v>20.125830379186706</v>
      </c>
      <c r="L16" s="38">
        <f t="shared" si="5"/>
        <v>0.81975516436206386</v>
      </c>
      <c r="M16" s="38">
        <f t="shared" si="6"/>
        <v>0.12483527668422364</v>
      </c>
      <c r="N16" s="110">
        <f t="shared" ref="N16" si="13">SUM(M16:M18)</f>
        <v>0.41437475468566209</v>
      </c>
      <c r="O16" s="110">
        <f t="shared" ref="O16" si="14">SUM(L16:L18)</f>
        <v>2.4248711603472519</v>
      </c>
      <c r="P16" s="107">
        <f t="shared" ref="P16" si="15">N16/O16</f>
        <v>0.17088526659136885</v>
      </c>
    </row>
    <row r="17" spans="1:25" ht="14.95" thickBot="1" x14ac:dyDescent="0.3">
      <c r="A17" s="17" t="s">
        <v>13</v>
      </c>
      <c r="B17" s="17" t="s">
        <v>65</v>
      </c>
      <c r="C17" s="100"/>
      <c r="D17" s="103">
        <v>4</v>
      </c>
      <c r="E17" s="3">
        <v>15</v>
      </c>
      <c r="F17" s="36">
        <v>17.220922890227762</v>
      </c>
      <c r="G17" s="41">
        <f t="shared" si="0"/>
        <v>0.17220922890227761</v>
      </c>
      <c r="H17" s="25">
        <f t="shared" si="2"/>
        <v>1.0088279766499177</v>
      </c>
      <c r="I17" s="25">
        <f t="shared" si="3"/>
        <v>0.87843830802956568</v>
      </c>
      <c r="J17" s="36">
        <f t="shared" si="4"/>
        <v>2.2568443691248081</v>
      </c>
      <c r="K17" s="36">
        <f t="shared" si="1"/>
        <v>18.695630631933053</v>
      </c>
      <c r="L17" s="39">
        <f t="shared" si="5"/>
        <v>0.80738573794106905</v>
      </c>
      <c r="M17" s="39">
        <f t="shared" si="6"/>
        <v>0.13903927535752789</v>
      </c>
      <c r="N17" s="111"/>
      <c r="O17" s="111"/>
      <c r="P17" s="108"/>
    </row>
    <row r="18" spans="1:25" ht="14.95" thickBot="1" x14ac:dyDescent="0.3">
      <c r="A18" s="17" t="s">
        <v>14</v>
      </c>
      <c r="B18" s="17" t="s">
        <v>66</v>
      </c>
      <c r="C18" s="100"/>
      <c r="D18" s="104"/>
      <c r="E18" s="4">
        <v>30</v>
      </c>
      <c r="F18" s="37">
        <v>18.866051666751133</v>
      </c>
      <c r="G18" s="41">
        <f t="shared" si="0"/>
        <v>0.18866051666751132</v>
      </c>
      <c r="H18" s="25">
        <f t="shared" si="2"/>
        <v>1.0088279766499177</v>
      </c>
      <c r="I18" s="25">
        <f t="shared" si="3"/>
        <v>0.88133782764183244</v>
      </c>
      <c r="J18" s="37">
        <f t="shared" si="4"/>
        <v>2.2494195607200442</v>
      </c>
      <c r="K18" s="37">
        <f t="shared" si="1"/>
        <v>17.700308548177922</v>
      </c>
      <c r="L18" s="40">
        <f t="shared" si="5"/>
        <v>0.7977302580441189</v>
      </c>
      <c r="M18" s="40">
        <f t="shared" si="6"/>
        <v>0.15050020264391059</v>
      </c>
      <c r="N18" s="111"/>
      <c r="O18" s="111"/>
      <c r="P18" s="108"/>
    </row>
    <row r="19" spans="1:25" ht="14.95" thickBot="1" x14ac:dyDescent="0.3">
      <c r="A19" s="17" t="s">
        <v>15</v>
      </c>
      <c r="B19" s="17" t="s">
        <v>67</v>
      </c>
      <c r="C19" s="100"/>
      <c r="D19" s="102">
        <v>5</v>
      </c>
      <c r="E19" s="2">
        <v>5</v>
      </c>
      <c r="F19" s="25">
        <v>19.448044906209937</v>
      </c>
      <c r="G19" s="41">
        <f t="shared" si="0"/>
        <v>0.19448044906209938</v>
      </c>
      <c r="H19" s="25">
        <f t="shared" si="2"/>
        <v>1.0088279766499177</v>
      </c>
      <c r="I19" s="25">
        <f t="shared" si="3"/>
        <v>0.88226240517089138</v>
      </c>
      <c r="J19" s="25">
        <f t="shared" si="4"/>
        <v>2.2470622543596259</v>
      </c>
      <c r="K19" s="25">
        <f t="shared" si="1"/>
        <v>17.381231344572118</v>
      </c>
      <c r="L19" s="38">
        <f t="shared" si="5"/>
        <v>0.79442770405528418</v>
      </c>
      <c r="M19" s="38">
        <f t="shared" si="6"/>
        <v>0.15450065663204426</v>
      </c>
      <c r="N19" s="110">
        <f t="shared" ref="N19" si="16">SUM(M19:M21)</f>
        <v>0.46681632347349555</v>
      </c>
      <c r="O19" s="110">
        <f t="shared" ref="O19" si="17">SUM(L19:L21)</f>
        <v>2.3818154010532715</v>
      </c>
      <c r="P19" s="107">
        <f t="shared" ref="P19" si="18">N19/O19</f>
        <v>0.19599181501096305</v>
      </c>
    </row>
    <row r="20" spans="1:25" ht="14.95" thickBot="1" x14ac:dyDescent="0.3">
      <c r="A20" s="17" t="s">
        <v>16</v>
      </c>
      <c r="B20" s="17" t="s">
        <v>68</v>
      </c>
      <c r="C20" s="100"/>
      <c r="D20" s="103">
        <v>5</v>
      </c>
      <c r="E20" s="3">
        <v>15</v>
      </c>
      <c r="F20" s="36">
        <v>16.249893227942618</v>
      </c>
      <c r="G20" s="41">
        <f t="shared" si="0"/>
        <v>0.16249893227942619</v>
      </c>
      <c r="H20" s="25">
        <f t="shared" si="2"/>
        <v>1.0088279766499177</v>
      </c>
      <c r="I20" s="25">
        <f t="shared" si="3"/>
        <v>0.87650796656492791</v>
      </c>
      <c r="J20" s="36">
        <f t="shared" si="4"/>
        <v>2.2618146379998634</v>
      </c>
      <c r="K20" s="36">
        <f t="shared" si="1"/>
        <v>19.357942543538126</v>
      </c>
      <c r="L20" s="39">
        <f t="shared" si="5"/>
        <v>0.81331765195472172</v>
      </c>
      <c r="M20" s="39">
        <f t="shared" si="6"/>
        <v>0.13216325004665225</v>
      </c>
      <c r="N20" s="111"/>
      <c r="O20" s="111"/>
      <c r="P20" s="108"/>
    </row>
    <row r="21" spans="1:25" ht="14.95" thickBot="1" x14ac:dyDescent="0.3">
      <c r="A21" s="17" t="s">
        <v>17</v>
      </c>
      <c r="B21" s="17" t="s">
        <v>69</v>
      </c>
      <c r="C21" s="100"/>
      <c r="D21" s="104"/>
      <c r="E21" s="4">
        <v>30</v>
      </c>
      <c r="F21" s="37">
        <v>23.273399861989191</v>
      </c>
      <c r="G21" s="41">
        <f t="shared" si="0"/>
        <v>0.23273399861989191</v>
      </c>
      <c r="H21" s="25">
        <f t="shared" si="2"/>
        <v>1.0088279766499177</v>
      </c>
      <c r="I21" s="25">
        <f t="shared" si="3"/>
        <v>0.88724415019939906</v>
      </c>
      <c r="J21" s="37">
        <f t="shared" si="4"/>
        <v>2.234445331259161</v>
      </c>
      <c r="K21" s="37">
        <f t="shared" si="1"/>
        <v>15.619331158074095</v>
      </c>
      <c r="L21" s="40">
        <f t="shared" si="5"/>
        <v>0.7740700450432656</v>
      </c>
      <c r="M21" s="40">
        <f t="shared" si="6"/>
        <v>0.18015241679479904</v>
      </c>
      <c r="N21" s="111"/>
      <c r="O21" s="111"/>
      <c r="P21" s="108"/>
    </row>
    <row r="22" spans="1:25" ht="14.95" thickBot="1" x14ac:dyDescent="0.3">
      <c r="A22" s="17" t="s">
        <v>18</v>
      </c>
      <c r="B22" s="17" t="s">
        <v>70</v>
      </c>
      <c r="C22" s="100"/>
      <c r="D22" s="102">
        <v>6</v>
      </c>
      <c r="E22" s="2">
        <v>5</v>
      </c>
      <c r="F22" s="25">
        <v>26.393863113062331</v>
      </c>
      <c r="G22" s="41">
        <f t="shared" si="0"/>
        <v>0.26393863113062332</v>
      </c>
      <c r="H22" s="25">
        <f t="shared" si="2"/>
        <v>1.0088279766499177</v>
      </c>
      <c r="I22" s="25">
        <f t="shared" si="3"/>
        <v>0.89018625100103932</v>
      </c>
      <c r="J22" s="25">
        <f t="shared" si="4"/>
        <v>2.2270604009786421</v>
      </c>
      <c r="K22" s="25">
        <f t="shared" si="1"/>
        <v>14.507436753532099</v>
      </c>
      <c r="L22" s="38">
        <f t="shared" si="5"/>
        <v>0.75902492908797026</v>
      </c>
      <c r="M22" s="38">
        <f t="shared" si="6"/>
        <v>0.2003360007774973</v>
      </c>
      <c r="N22" s="110">
        <f t="shared" ref="N22" si="19">SUM(M22:M24)</f>
        <v>0.56123668709234187</v>
      </c>
      <c r="O22" s="110">
        <f t="shared" ref="O22" si="20">SUM(L22:L24)</f>
        <v>2.3072059296487755</v>
      </c>
      <c r="P22" s="107">
        <f t="shared" ref="P22" si="21">N22/O22</f>
        <v>0.24325383351358609</v>
      </c>
    </row>
    <row r="23" spans="1:25" ht="14.95" thickBot="1" x14ac:dyDescent="0.3">
      <c r="A23" s="17" t="s">
        <v>19</v>
      </c>
      <c r="B23" s="17" t="s">
        <v>71</v>
      </c>
      <c r="C23" s="100"/>
      <c r="D23" s="103">
        <v>6</v>
      </c>
      <c r="E23" s="3">
        <v>15</v>
      </c>
      <c r="F23" s="36">
        <v>25.692221869507012</v>
      </c>
      <c r="G23" s="41">
        <f t="shared" si="0"/>
        <v>0.25692221869507015</v>
      </c>
      <c r="H23" s="25">
        <f t="shared" si="2"/>
        <v>1.0088279766499177</v>
      </c>
      <c r="I23" s="25">
        <f t="shared" si="3"/>
        <v>0.88959667679730514</v>
      </c>
      <c r="J23" s="36">
        <f t="shared" si="4"/>
        <v>2.2285363702541816</v>
      </c>
      <c r="K23" s="36">
        <f t="shared" si="1"/>
        <v>14.737278309876128</v>
      </c>
      <c r="L23" s="39">
        <f t="shared" si="5"/>
        <v>0.76229585500375097</v>
      </c>
      <c r="M23" s="39">
        <f t="shared" si="6"/>
        <v>0.19585074236961919</v>
      </c>
      <c r="N23" s="111"/>
      <c r="O23" s="111"/>
      <c r="P23" s="108"/>
    </row>
    <row r="24" spans="1:25" ht="14.95" thickBot="1" x14ac:dyDescent="0.3">
      <c r="A24" s="17" t="s">
        <v>20</v>
      </c>
      <c r="B24" s="17" t="s">
        <v>72</v>
      </c>
      <c r="C24" s="101"/>
      <c r="D24" s="104"/>
      <c r="E24" s="4">
        <v>30</v>
      </c>
      <c r="F24" s="37">
        <v>21.001789495363717</v>
      </c>
      <c r="G24" s="41">
        <f t="shared" si="0"/>
        <v>0.21001789495363718</v>
      </c>
      <c r="H24" s="25">
        <f t="shared" si="2"/>
        <v>1.0088279766499177</v>
      </c>
      <c r="I24" s="25">
        <f t="shared" si="3"/>
        <v>0.88450023784608089</v>
      </c>
      <c r="J24" s="37">
        <f t="shared" si="4"/>
        <v>2.2413770672665887</v>
      </c>
      <c r="K24" s="37">
        <f t="shared" si="1"/>
        <v>16.601325063408353</v>
      </c>
      <c r="L24" s="40">
        <f t="shared" si="5"/>
        <v>0.78588514555705458</v>
      </c>
      <c r="M24" s="40">
        <f t="shared" si="6"/>
        <v>0.16504994394522535</v>
      </c>
      <c r="N24" s="111"/>
      <c r="O24" s="111"/>
      <c r="P24" s="108"/>
    </row>
    <row r="25" spans="1:25" ht="14.95" thickBot="1" x14ac:dyDescent="0.3">
      <c r="A25" s="17" t="s">
        <v>21</v>
      </c>
      <c r="B25" s="17" t="s">
        <v>73</v>
      </c>
      <c r="C25" s="99">
        <v>25</v>
      </c>
      <c r="D25" s="102">
        <v>1</v>
      </c>
      <c r="E25" s="2">
        <v>5</v>
      </c>
      <c r="F25" s="25">
        <v>29.201423236595069</v>
      </c>
      <c r="G25" s="41">
        <f t="shared" si="0"/>
        <v>0.2920142323659507</v>
      </c>
      <c r="H25" s="25">
        <f t="shared" si="2"/>
        <v>1.0088279766499177</v>
      </c>
      <c r="I25" s="25">
        <f t="shared" si="3"/>
        <v>0.89219724011329027</v>
      </c>
      <c r="J25" s="25">
        <f>$C$25/H25/I25</f>
        <v>27.775508317649489</v>
      </c>
      <c r="K25" s="25">
        <f t="shared" si="1"/>
        <v>13.684109067513793</v>
      </c>
      <c r="L25" s="38">
        <f>EXP((-2*C$25)/K25)</f>
        <v>2.5890653484037341E-2</v>
      </c>
      <c r="M25" s="38">
        <f t="shared" si="6"/>
        <v>7.5604393025939911E-3</v>
      </c>
      <c r="N25" s="110">
        <f t="shared" ref="N25" si="22">SUM(M25:M27)</f>
        <v>2.4143449752084413E-2</v>
      </c>
      <c r="O25" s="110">
        <f t="shared" ref="O25" si="23">SUM(L25:L27)</f>
        <v>9.2581058247627177E-2</v>
      </c>
      <c r="P25" s="107">
        <f t="shared" ref="P25" si="24">N25/O25</f>
        <v>0.26078174314564179</v>
      </c>
    </row>
    <row r="26" spans="1:25" ht="14.95" thickBot="1" x14ac:dyDescent="0.3">
      <c r="A26" s="17" t="s">
        <v>22</v>
      </c>
      <c r="B26" s="17" t="s">
        <v>75</v>
      </c>
      <c r="C26" s="100"/>
      <c r="D26" s="103"/>
      <c r="E26" s="3">
        <v>15</v>
      </c>
      <c r="F26" s="36">
        <v>21.331635343843601</v>
      </c>
      <c r="G26" s="41">
        <f t="shared" si="0"/>
        <v>0.21331635343843602</v>
      </c>
      <c r="H26" s="25">
        <f t="shared" si="2"/>
        <v>1.0088279766499177</v>
      </c>
      <c r="I26" s="25">
        <f t="shared" si="3"/>
        <v>0.88493531683482529</v>
      </c>
      <c r="J26" s="25">
        <f t="shared" ref="J26:J39" si="25">$C$25/H26/I26</f>
        <v>28.003438660789794</v>
      </c>
      <c r="K26" s="25">
        <f t="shared" si="1"/>
        <v>16.447929813135698</v>
      </c>
      <c r="L26" s="38">
        <f t="shared" ref="L26:L39" si="26">EXP((-2*C$25)/K26)</f>
        <v>4.7839853084526436E-2</v>
      </c>
      <c r="M26" s="38">
        <f t="shared" si="6"/>
        <v>1.0205023009021695E-2</v>
      </c>
      <c r="N26" s="111"/>
      <c r="O26" s="111"/>
      <c r="P26" s="108"/>
    </row>
    <row r="27" spans="1:25" ht="14.95" thickBot="1" x14ac:dyDescent="0.3">
      <c r="A27" s="17" t="s">
        <v>23</v>
      </c>
      <c r="B27" s="17" t="s">
        <v>74</v>
      </c>
      <c r="C27" s="100"/>
      <c r="D27" s="104"/>
      <c r="E27" s="4">
        <v>30</v>
      </c>
      <c r="F27" s="37">
        <v>33.834486910812913</v>
      </c>
      <c r="G27" s="41">
        <f t="shared" si="0"/>
        <v>0.33834486910812911</v>
      </c>
      <c r="H27" s="25">
        <f t="shared" si="2"/>
        <v>1.0088279766499177</v>
      </c>
      <c r="I27" s="25">
        <f t="shared" si="3"/>
        <v>0.89456095080827946</v>
      </c>
      <c r="J27" s="25">
        <f t="shared" si="25"/>
        <v>27.702116710280681</v>
      </c>
      <c r="K27" s="25">
        <f t="shared" si="1"/>
        <v>12.590611170194734</v>
      </c>
      <c r="L27" s="38">
        <f t="shared" si="26"/>
        <v>1.8850551679063392E-2</v>
      </c>
      <c r="M27" s="38">
        <f t="shared" si="6"/>
        <v>6.3779874404687265E-3</v>
      </c>
      <c r="N27" s="111"/>
      <c r="O27" s="111"/>
      <c r="P27" s="108"/>
      <c r="R27" s="19"/>
      <c r="S27" s="20" t="s">
        <v>94</v>
      </c>
      <c r="T27" s="21" t="s">
        <v>95</v>
      </c>
      <c r="U27" s="21" t="s">
        <v>96</v>
      </c>
      <c r="V27" s="21" t="s">
        <v>97</v>
      </c>
      <c r="W27" s="21" t="s">
        <v>98</v>
      </c>
      <c r="X27" s="21" t="s">
        <v>99</v>
      </c>
      <c r="Y27" s="21" t="s">
        <v>100</v>
      </c>
    </row>
    <row r="28" spans="1:25" ht="14.95" thickBot="1" x14ac:dyDescent="0.3">
      <c r="A28" s="17" t="s">
        <v>24</v>
      </c>
      <c r="B28" s="17" t="s">
        <v>76</v>
      </c>
      <c r="C28" s="100"/>
      <c r="D28" s="102">
        <v>2</v>
      </c>
      <c r="E28" s="2">
        <v>5</v>
      </c>
      <c r="F28" s="25">
        <v>35.276347678746617</v>
      </c>
      <c r="G28" s="41">
        <f t="shared" si="0"/>
        <v>0.35276347678746617</v>
      </c>
      <c r="H28" s="25">
        <f t="shared" si="2"/>
        <v>1.0088279766499177</v>
      </c>
      <c r="I28" s="25">
        <f t="shared" si="3"/>
        <v>0.89511255955916325</v>
      </c>
      <c r="J28" s="25">
        <f t="shared" si="25"/>
        <v>27.685045415914171</v>
      </c>
      <c r="K28" s="25">
        <f t="shared" si="1"/>
        <v>12.30255270058351</v>
      </c>
      <c r="L28" s="38">
        <f t="shared" si="26"/>
        <v>1.7176773586622743E-2</v>
      </c>
      <c r="M28" s="38">
        <f t="shared" si="6"/>
        <v>6.0593383704081539E-3</v>
      </c>
      <c r="N28" s="110">
        <f t="shared" ref="N28" si="27">SUM(M28:M30)</f>
        <v>2.790552696618781E-2</v>
      </c>
      <c r="O28" s="110">
        <f t="shared" ref="O28" si="28">SUM(L28:L30)</f>
        <v>0.12954456960137872</v>
      </c>
      <c r="P28" s="107">
        <f t="shared" ref="P28" si="29">N28/O28</f>
        <v>0.2154125568679246</v>
      </c>
      <c r="R28" s="22" t="s">
        <v>82</v>
      </c>
      <c r="S28" s="23" t="s">
        <v>101</v>
      </c>
      <c r="T28" s="23"/>
      <c r="U28" s="23"/>
      <c r="V28" s="23"/>
      <c r="W28" s="23"/>
      <c r="X28" s="23"/>
      <c r="Y28" s="23"/>
    </row>
    <row r="29" spans="1:25" ht="14.95" thickBot="1" x14ac:dyDescent="0.3">
      <c r="A29" s="17" t="s">
        <v>25</v>
      </c>
      <c r="B29" s="17" t="s">
        <v>77</v>
      </c>
      <c r="C29" s="100"/>
      <c r="D29" s="103"/>
      <c r="E29" s="3">
        <v>15</v>
      </c>
      <c r="F29" s="36">
        <v>18.511473800172098</v>
      </c>
      <c r="G29" s="41">
        <f t="shared" si="0"/>
        <v>0.18511473800172099</v>
      </c>
      <c r="H29" s="25">
        <f t="shared" si="2"/>
        <v>1.0088279766499177</v>
      </c>
      <c r="I29" s="25">
        <f t="shared" si="3"/>
        <v>0.88074963969593822</v>
      </c>
      <c r="J29" s="25">
        <f t="shared" si="25"/>
        <v>28.136522283796623</v>
      </c>
      <c r="K29" s="25">
        <f t="shared" si="1"/>
        <v>17.902690363940351</v>
      </c>
      <c r="L29" s="38">
        <f t="shared" si="26"/>
        <v>6.1244800618610942E-2</v>
      </c>
      <c r="M29" s="38">
        <f t="shared" si="6"/>
        <v>1.1337315220481804E-2</v>
      </c>
      <c r="N29" s="111"/>
      <c r="O29" s="111"/>
      <c r="P29" s="108"/>
      <c r="R29" s="21" t="s">
        <v>83</v>
      </c>
      <c r="S29" s="23">
        <v>8735</v>
      </c>
      <c r="T29" s="23">
        <v>22.689</v>
      </c>
      <c r="U29" s="23">
        <v>11720</v>
      </c>
      <c r="V29" s="23">
        <v>9.7800000000000005E-3</v>
      </c>
      <c r="W29" s="23">
        <v>9306</v>
      </c>
      <c r="X29" s="23">
        <v>3.6319999999999998E-3</v>
      </c>
      <c r="Y29" s="23"/>
    </row>
    <row r="30" spans="1:25" ht="14.95" thickBot="1" x14ac:dyDescent="0.3">
      <c r="A30" s="17" t="s">
        <v>26</v>
      </c>
      <c r="B30" s="17" t="s">
        <v>78</v>
      </c>
      <c r="C30" s="100"/>
      <c r="D30" s="104"/>
      <c r="E30" s="4">
        <v>30</v>
      </c>
      <c r="F30" s="37">
        <v>20.556059545936307</v>
      </c>
      <c r="G30" s="41">
        <f t="shared" si="0"/>
        <v>0.20556059545936306</v>
      </c>
      <c r="H30" s="25">
        <f t="shared" si="2"/>
        <v>1.0088279766499177</v>
      </c>
      <c r="I30" s="25">
        <f t="shared" si="3"/>
        <v>0.88389081163647332</v>
      </c>
      <c r="J30" s="25">
        <f t="shared" si="25"/>
        <v>28.03653068626155</v>
      </c>
      <c r="K30" s="25">
        <f t="shared" si="1"/>
        <v>16.815082892569137</v>
      </c>
      <c r="L30" s="38">
        <f t="shared" si="26"/>
        <v>5.1122995396145045E-2</v>
      </c>
      <c r="M30" s="38">
        <f t="shared" si="6"/>
        <v>1.0508873375297852E-2</v>
      </c>
      <c r="N30" s="111"/>
      <c r="O30" s="111"/>
      <c r="P30" s="108"/>
      <c r="R30" s="21" t="s">
        <v>84</v>
      </c>
      <c r="S30" s="23">
        <v>2.7924999999999998E-2</v>
      </c>
      <c r="T30" s="23">
        <v>6.6577000000000002</v>
      </c>
      <c r="U30" s="23">
        <v>2.8544E-2</v>
      </c>
      <c r="V30" s="23">
        <v>2.4550000000000002E-3</v>
      </c>
      <c r="W30" s="23">
        <f>6.851*10^-5</f>
        <v>6.8510000000000006E-5</v>
      </c>
      <c r="X30" s="23">
        <v>12.275499999999999</v>
      </c>
      <c r="Y30" s="23"/>
    </row>
    <row r="31" spans="1:25" ht="14.95" thickBot="1" x14ac:dyDescent="0.3">
      <c r="A31" s="17" t="s">
        <v>27</v>
      </c>
      <c r="B31" s="17" t="s">
        <v>79</v>
      </c>
      <c r="C31" s="100"/>
      <c r="D31" s="102">
        <v>3</v>
      </c>
      <c r="E31" s="2">
        <v>5</v>
      </c>
      <c r="F31" s="25">
        <v>33.037933747730946</v>
      </c>
      <c r="G31" s="41">
        <f t="shared" si="0"/>
        <v>0.33037933747730946</v>
      </c>
      <c r="H31" s="25">
        <f t="shared" si="2"/>
        <v>1.0088279766499177</v>
      </c>
      <c r="I31" s="25">
        <f t="shared" si="3"/>
        <v>0.8942231505051017</v>
      </c>
      <c r="J31" s="25">
        <f t="shared" si="25"/>
        <v>27.712581417460441</v>
      </c>
      <c r="K31" s="25">
        <f t="shared" si="1"/>
        <v>12.75929136843436</v>
      </c>
      <c r="L31" s="38">
        <f t="shared" si="26"/>
        <v>1.9866648161392088E-2</v>
      </c>
      <c r="M31" s="38">
        <f t="shared" si="6"/>
        <v>6.5635300574555262E-3</v>
      </c>
      <c r="N31" s="110">
        <f t="shared" ref="N31" si="30">SUM(M31:M33)</f>
        <v>2.5913778572269043E-2</v>
      </c>
      <c r="O31" s="110">
        <f t="shared" ref="O31" si="31">SUM(L31:L33)</f>
        <v>0.10551980257498546</v>
      </c>
      <c r="P31" s="107">
        <f t="shared" ref="P31" si="32">N31/O31</f>
        <v>0.24558213662173936</v>
      </c>
      <c r="R31" s="21" t="s">
        <v>85</v>
      </c>
      <c r="S31" s="23">
        <v>247970</v>
      </c>
      <c r="T31" s="23">
        <v>23.289000000000001</v>
      </c>
      <c r="U31" s="23">
        <v>374655</v>
      </c>
      <c r="V31" s="23">
        <v>1.91E-3</v>
      </c>
      <c r="W31" s="23">
        <v>258552</v>
      </c>
      <c r="X31" s="23"/>
      <c r="Y31" s="23"/>
    </row>
    <row r="32" spans="1:25" ht="14.95" thickBot="1" x14ac:dyDescent="0.3">
      <c r="A32" s="17" t="s">
        <v>28</v>
      </c>
      <c r="B32" s="17" t="s">
        <v>80</v>
      </c>
      <c r="C32" s="100"/>
      <c r="D32" s="103"/>
      <c r="E32" s="3">
        <v>15</v>
      </c>
      <c r="F32" s="36">
        <v>21.302215281580992</v>
      </c>
      <c r="G32" s="41">
        <f t="shared" si="0"/>
        <v>0.21302215281580991</v>
      </c>
      <c r="H32" s="25">
        <f t="shared" si="2"/>
        <v>1.0088279766499177</v>
      </c>
      <c r="I32" s="25">
        <f t="shared" si="3"/>
        <v>0.88489704761785859</v>
      </c>
      <c r="J32" s="25">
        <f t="shared" si="25"/>
        <v>28.004649727854385</v>
      </c>
      <c r="K32" s="25">
        <f t="shared" si="1"/>
        <v>16.461451041744887</v>
      </c>
      <c r="L32" s="38">
        <f t="shared" si="26"/>
        <v>4.7959455225323584E-2</v>
      </c>
      <c r="M32" s="38">
        <f t="shared" si="6"/>
        <v>1.0216426399971874E-2</v>
      </c>
      <c r="N32" s="111"/>
      <c r="O32" s="111"/>
      <c r="P32" s="108"/>
      <c r="R32" s="21" t="s">
        <v>86</v>
      </c>
      <c r="S32" s="23">
        <v>5.4817999999999999E-2</v>
      </c>
      <c r="T32" s="23">
        <v>21.032</v>
      </c>
      <c r="U32" s="23">
        <v>0.63729999999999998</v>
      </c>
      <c r="V32" s="23">
        <v>7.9100000000000004E-2</v>
      </c>
      <c r="W32" s="23">
        <f>5.425*10^-4</f>
        <v>5.4250000000000001E-4</v>
      </c>
      <c r="X32" s="23"/>
      <c r="Y32" s="23"/>
    </row>
    <row r="33" spans="1:25" ht="14.95" thickBot="1" x14ac:dyDescent="0.3">
      <c r="A33" s="17" t="s">
        <v>29</v>
      </c>
      <c r="B33" s="17">
        <v>1</v>
      </c>
      <c r="C33" s="100"/>
      <c r="D33" s="104"/>
      <c r="E33" s="4">
        <v>30</v>
      </c>
      <c r="F33" s="37">
        <v>24.231694716988862</v>
      </c>
      <c r="G33" s="41">
        <f t="shared" si="0"/>
        <v>0.24231694716988861</v>
      </c>
      <c r="H33" s="25">
        <f t="shared" si="2"/>
        <v>1.0088279766499177</v>
      </c>
      <c r="I33" s="25">
        <f t="shared" si="3"/>
        <v>0.88823956202879639</v>
      </c>
      <c r="J33" s="25">
        <f t="shared" si="25"/>
        <v>27.899266057400869</v>
      </c>
      <c r="K33" s="25">
        <f t="shared" si="1"/>
        <v>15.251982600976913</v>
      </c>
      <c r="L33" s="38">
        <f t="shared" si="26"/>
        <v>3.7693699188269786E-2</v>
      </c>
      <c r="M33" s="38">
        <f t="shared" si="6"/>
        <v>9.1338221148416429E-3</v>
      </c>
      <c r="N33" s="111"/>
      <c r="O33" s="111"/>
      <c r="P33" s="108"/>
      <c r="R33" s="21" t="s">
        <v>87</v>
      </c>
      <c r="S33" s="23">
        <v>39006</v>
      </c>
      <c r="T33" s="23">
        <v>15002330</v>
      </c>
      <c r="U33" s="23">
        <v>2009.24</v>
      </c>
      <c r="V33" s="23">
        <v>1.1809999999999999E-2</v>
      </c>
      <c r="W33" s="23">
        <v>3.1459999999999999</v>
      </c>
      <c r="X33" s="23">
        <v>16.741700000000002</v>
      </c>
      <c r="Y33" s="23">
        <v>3727</v>
      </c>
    </row>
    <row r="34" spans="1:25" ht="14.95" thickBot="1" x14ac:dyDescent="0.3">
      <c r="A34" s="17" t="s">
        <v>30</v>
      </c>
      <c r="B34" s="17">
        <v>2</v>
      </c>
      <c r="C34" s="100"/>
      <c r="D34" s="102">
        <v>4</v>
      </c>
      <c r="E34" s="2">
        <v>5</v>
      </c>
      <c r="F34" s="25">
        <v>28.654056559443724</v>
      </c>
      <c r="G34" s="41">
        <f t="shared" si="0"/>
        <v>0.28654056559443725</v>
      </c>
      <c r="H34" s="25">
        <f t="shared" si="2"/>
        <v>1.0088279766499177</v>
      </c>
      <c r="I34" s="25">
        <f t="shared" si="3"/>
        <v>0.89184504191476333</v>
      </c>
      <c r="J34" s="25">
        <f t="shared" si="25"/>
        <v>27.786477133455925</v>
      </c>
      <c r="K34" s="25">
        <f t="shared" si="1"/>
        <v>13.833613810487016</v>
      </c>
      <c r="L34" s="38">
        <f t="shared" si="26"/>
        <v>2.6933496390812332E-2</v>
      </c>
      <c r="M34" s="38">
        <f t="shared" si="6"/>
        <v>7.7175392892591E-3</v>
      </c>
      <c r="N34" s="110">
        <f t="shared" ref="N34" si="33">SUM(M34:M36)</f>
        <v>2.812966182700511E-2</v>
      </c>
      <c r="O34" s="110">
        <f t="shared" ref="O34" si="34">SUM(L34:L36)</f>
        <v>0.12380429980334359</v>
      </c>
      <c r="P34" s="107">
        <f t="shared" ref="P34" si="35">N34/O34</f>
        <v>0.22721070166131185</v>
      </c>
      <c r="R34" s="21" t="s">
        <v>88</v>
      </c>
      <c r="S34" s="23">
        <f>6.031*10^-5</f>
        <v>6.0310000000000004E-5</v>
      </c>
      <c r="T34" s="23">
        <v>95.5</v>
      </c>
      <c r="U34" s="23">
        <v>1.3826000000000001E-3</v>
      </c>
      <c r="V34" s="23"/>
      <c r="W34" s="23"/>
      <c r="X34" s="23"/>
      <c r="Y34" s="23"/>
    </row>
    <row r="35" spans="1:25" ht="14.95" thickBot="1" x14ac:dyDescent="0.3">
      <c r="A35" s="17" t="s">
        <v>31</v>
      </c>
      <c r="B35" s="17">
        <v>3</v>
      </c>
      <c r="C35" s="100"/>
      <c r="D35" s="103"/>
      <c r="E35" s="3">
        <v>15</v>
      </c>
      <c r="F35" s="36">
        <v>23.312158930196816</v>
      </c>
      <c r="G35" s="41">
        <f t="shared" si="0"/>
        <v>0.23312158930196816</v>
      </c>
      <c r="H35" s="25">
        <f t="shared" si="2"/>
        <v>1.0088279766499177</v>
      </c>
      <c r="I35" s="25">
        <f t="shared" si="3"/>
        <v>0.88728614590972332</v>
      </c>
      <c r="J35" s="25">
        <f t="shared" si="25"/>
        <v>27.929244672633455</v>
      </c>
      <c r="K35" s="25">
        <f t="shared" si="1"/>
        <v>15.603978457334845</v>
      </c>
      <c r="L35" s="38">
        <f t="shared" si="26"/>
        <v>4.058685586815966E-2</v>
      </c>
      <c r="M35" s="38">
        <f t="shared" si="6"/>
        <v>9.4616723447552929E-3</v>
      </c>
      <c r="N35" s="111"/>
      <c r="O35" s="111"/>
      <c r="P35" s="108"/>
      <c r="R35" s="21" t="s">
        <v>89</v>
      </c>
      <c r="S35" s="23">
        <v>11747</v>
      </c>
      <c r="T35" s="23">
        <v>55.033000000000001</v>
      </c>
      <c r="U35" s="23">
        <v>4521</v>
      </c>
      <c r="V35" s="23">
        <v>1.9980000000000001E-2</v>
      </c>
      <c r="W35" s="23">
        <v>6.0400000000000002E-3</v>
      </c>
      <c r="X35" s="23">
        <v>3347.4</v>
      </c>
      <c r="Y35" s="23">
        <v>4.7499999999999999E-3</v>
      </c>
    </row>
    <row r="36" spans="1:25" ht="14.95" thickBot="1" x14ac:dyDescent="0.3">
      <c r="A36" s="17" t="s">
        <v>32</v>
      </c>
      <c r="B36" s="17">
        <v>4</v>
      </c>
      <c r="C36" s="100"/>
      <c r="D36" s="104"/>
      <c r="E36" s="4">
        <v>30</v>
      </c>
      <c r="F36" s="37">
        <v>19.455725248052119</v>
      </c>
      <c r="G36" s="41">
        <f t="shared" si="0"/>
        <v>0.19455725248052119</v>
      </c>
      <c r="H36" s="25">
        <f t="shared" si="2"/>
        <v>1.0088279766499177</v>
      </c>
      <c r="I36" s="25">
        <f t="shared" si="3"/>
        <v>0.88227427677095005</v>
      </c>
      <c r="J36" s="25">
        <f t="shared" si="25"/>
        <v>28.087900232621362</v>
      </c>
      <c r="K36" s="25">
        <f t="shared" si="1"/>
        <v>17.377125169527673</v>
      </c>
      <c r="L36" s="38">
        <f t="shared" si="26"/>
        <v>5.6283947544371597E-2</v>
      </c>
      <c r="M36" s="38">
        <f t="shared" si="6"/>
        <v>1.0950450192990716E-2</v>
      </c>
      <c r="N36" s="111"/>
      <c r="O36" s="111"/>
      <c r="P36" s="108"/>
      <c r="R36" s="21" t="s">
        <v>90</v>
      </c>
      <c r="S36" s="23">
        <v>1.5429999999999999E-2</v>
      </c>
      <c r="T36" s="23">
        <v>13.29</v>
      </c>
      <c r="U36" s="23">
        <v>1.8069999999999999E-2</v>
      </c>
      <c r="V36" s="23">
        <v>1.1000000000000001E-3</v>
      </c>
      <c r="W36" s="23">
        <f>8.81*10^-5</f>
        <v>8.8100000000000014E-5</v>
      </c>
      <c r="X36" s="23">
        <v>4.0500000000000001E-2</v>
      </c>
      <c r="Y36" s="23">
        <v>26.74</v>
      </c>
    </row>
    <row r="37" spans="1:25" ht="14.95" thickBot="1" x14ac:dyDescent="0.3">
      <c r="A37" s="17" t="s">
        <v>33</v>
      </c>
      <c r="B37" s="17">
        <v>5</v>
      </c>
      <c r="C37" s="100"/>
      <c r="D37" s="102">
        <v>5</v>
      </c>
      <c r="E37" s="2">
        <v>5</v>
      </c>
      <c r="F37" s="25">
        <v>19.47394600523306</v>
      </c>
      <c r="G37" s="41">
        <f t="shared" si="0"/>
        <v>0.19473946005233059</v>
      </c>
      <c r="H37" s="25">
        <f t="shared" si="2"/>
        <v>1.0088279766499177</v>
      </c>
      <c r="I37" s="25">
        <f t="shared" si="3"/>
        <v>0.88230240710679209</v>
      </c>
      <c r="J37" s="25">
        <f t="shared" si="25"/>
        <v>28.087004709657492</v>
      </c>
      <c r="K37" s="25">
        <f t="shared" si="1"/>
        <v>17.367394343243763</v>
      </c>
      <c r="L37" s="38">
        <f t="shared" si="26"/>
        <v>5.6193282130082907E-2</v>
      </c>
      <c r="M37" s="38">
        <f t="shared" si="6"/>
        <v>1.0943049420580622E-2</v>
      </c>
      <c r="N37" s="110">
        <f t="shared" ref="N37" si="36">SUM(M37:M39)</f>
        <v>3.2603002454226579E-2</v>
      </c>
      <c r="O37" s="110">
        <f t="shared" ref="O37" si="37">SUM(L37:L39)</f>
        <v>0.16613037746857925</v>
      </c>
      <c r="P37" s="107">
        <f t="shared" ref="P37" si="38">N37/O37</f>
        <v>0.19624949362673233</v>
      </c>
      <c r="R37" s="21" t="s">
        <v>91</v>
      </c>
      <c r="S37" s="23">
        <v>0.49220000000000003</v>
      </c>
      <c r="T37" s="23">
        <v>0.86</v>
      </c>
      <c r="U37" s="23"/>
      <c r="V37" s="23"/>
      <c r="W37" s="23"/>
      <c r="X37" s="23"/>
      <c r="Y37" s="23"/>
    </row>
    <row r="38" spans="1:25" ht="14.95" thickBot="1" x14ac:dyDescent="0.3">
      <c r="A38" s="17" t="s">
        <v>34</v>
      </c>
      <c r="B38" s="17">
        <v>6</v>
      </c>
      <c r="C38" s="100"/>
      <c r="D38" s="103"/>
      <c r="E38" s="3">
        <v>15</v>
      </c>
      <c r="F38" s="36">
        <v>18.945204168933262</v>
      </c>
      <c r="G38" s="41">
        <f t="shared" si="0"/>
        <v>0.18945204168933263</v>
      </c>
      <c r="H38" s="25">
        <f t="shared" si="2"/>
        <v>1.0088279766499177</v>
      </c>
      <c r="I38" s="25">
        <f>1-$S$38*(1-EXP(-$T$38*$T$42))*(1+EXP(-$U$38*G38))</f>
        <v>0.88146651583098123</v>
      </c>
      <c r="J38" s="25">
        <f t="shared" si="25"/>
        <v>28.113639507212255</v>
      </c>
      <c r="K38" s="25">
        <f t="shared" si="1"/>
        <v>17.655974137502596</v>
      </c>
      <c r="L38" s="38">
        <f t="shared" si="26"/>
        <v>5.8900679438850884E-2</v>
      </c>
      <c r="M38" s="38">
        <f t="shared" si="6"/>
        <v>1.1158853976579196E-2</v>
      </c>
      <c r="N38" s="111"/>
      <c r="O38" s="111"/>
      <c r="P38" s="108"/>
      <c r="R38" s="21" t="s">
        <v>92</v>
      </c>
      <c r="S38" s="23">
        <v>0.17</v>
      </c>
      <c r="T38" s="23">
        <v>0.41</v>
      </c>
      <c r="U38" s="23">
        <v>9.25</v>
      </c>
      <c r="V38" s="23"/>
      <c r="W38" s="23"/>
      <c r="X38" s="23"/>
      <c r="Y38" s="23"/>
    </row>
    <row r="39" spans="1:25" ht="14.95" thickBot="1" x14ac:dyDescent="0.3">
      <c r="A39" s="17" t="s">
        <v>35</v>
      </c>
      <c r="B39" s="17">
        <v>7</v>
      </c>
      <c r="C39" s="101"/>
      <c r="D39" s="104"/>
      <c r="E39" s="4">
        <v>30</v>
      </c>
      <c r="F39" s="37">
        <v>20.57569849284755</v>
      </c>
      <c r="G39" s="41">
        <f t="shared" si="0"/>
        <v>0.20575698492847549</v>
      </c>
      <c r="H39" s="25">
        <f t="shared" si="2"/>
        <v>1.0088279766499177</v>
      </c>
      <c r="I39" s="25">
        <f t="shared" si="3"/>
        <v>0.88391819553785522</v>
      </c>
      <c r="J39" s="25">
        <f t="shared" si="25"/>
        <v>28.035662110871566</v>
      </c>
      <c r="K39" s="25">
        <f t="shared" si="1"/>
        <v>16.805503294109805</v>
      </c>
      <c r="L39" s="38">
        <f t="shared" si="26"/>
        <v>5.1036415899645471E-2</v>
      </c>
      <c r="M39" s="38">
        <f t="shared" si="6"/>
        <v>1.0501099057066761E-2</v>
      </c>
      <c r="N39" s="111"/>
      <c r="O39" s="111"/>
      <c r="P39" s="108"/>
      <c r="R39" s="21" t="s">
        <v>93</v>
      </c>
      <c r="S39" s="23">
        <v>8.3209999999999997</v>
      </c>
      <c r="T39" s="23">
        <v>0.14249000000000001</v>
      </c>
      <c r="U39" s="23">
        <v>0.96655000000000002</v>
      </c>
      <c r="V39" s="23">
        <v>0.01</v>
      </c>
      <c r="W39" s="23">
        <v>20</v>
      </c>
      <c r="X39" s="23">
        <v>4.2900000000000001E-2</v>
      </c>
      <c r="Y39" s="23"/>
    </row>
    <row r="40" spans="1:25" ht="14.95" thickBot="1" x14ac:dyDescent="0.3">
      <c r="A40" s="17" t="s">
        <v>36</v>
      </c>
      <c r="B40" s="17">
        <v>8</v>
      </c>
      <c r="C40" s="99">
        <v>52</v>
      </c>
      <c r="D40" s="102">
        <v>1</v>
      </c>
      <c r="E40" s="2">
        <v>5</v>
      </c>
      <c r="F40" s="25">
        <v>28.986845823274848</v>
      </c>
      <c r="G40" s="41">
        <f t="shared" si="0"/>
        <v>0.28986845823274848</v>
      </c>
      <c r="H40" s="25">
        <f t="shared" si="2"/>
        <v>1.0088279766499177</v>
      </c>
      <c r="I40" s="25">
        <f t="shared" si="3"/>
        <v>0.89206129328576134</v>
      </c>
      <c r="J40" s="25">
        <f>$C$40/H40/I40</f>
        <v>57.781861700045148</v>
      </c>
      <c r="K40" s="25">
        <f t="shared" si="1"/>
        <v>13.742131447911177</v>
      </c>
      <c r="L40" s="38">
        <f>EXP((-2*C$40)/K40)</f>
        <v>5.1674181653727327E-4</v>
      </c>
      <c r="M40" s="38">
        <f t="shared" si="6"/>
        <v>1.4978715366404917E-4</v>
      </c>
      <c r="N40" s="110">
        <f t="shared" ref="N40" si="39">SUM(M40:M42)</f>
        <v>6.2247544822743211E-4</v>
      </c>
      <c r="O40" s="110">
        <f t="shared" ref="O40" si="40">SUM(L40:L42)</f>
        <v>2.4166472169977818E-3</v>
      </c>
      <c r="P40" s="107">
        <f t="shared" ref="P40" si="41">N40/O40</f>
        <v>0.25757812056686447</v>
      </c>
    </row>
    <row r="41" spans="1:25" ht="18.350000000000001" thickBot="1" x14ac:dyDescent="0.4">
      <c r="A41" s="17" t="s">
        <v>39</v>
      </c>
      <c r="B41" s="17">
        <v>9</v>
      </c>
      <c r="C41" s="100"/>
      <c r="D41" s="103"/>
      <c r="E41" s="3">
        <v>15</v>
      </c>
      <c r="F41" s="36">
        <v>27.118416483457501</v>
      </c>
      <c r="G41" s="41">
        <f t="shared" si="0"/>
        <v>0.27118416483457503</v>
      </c>
      <c r="H41" s="25">
        <f t="shared" si="2"/>
        <v>1.0088279766499177</v>
      </c>
      <c r="I41" s="25">
        <f t="shared" si="3"/>
        <v>0.89075622111946284</v>
      </c>
      <c r="J41" s="25">
        <f t="shared" ref="J41:J48" si="42">$C$40/H41/I41</f>
        <v>57.866519542037949</v>
      </c>
      <c r="K41" s="25">
        <f t="shared" si="1"/>
        <v>14.280867174552363</v>
      </c>
      <c r="L41" s="38">
        <f t="shared" ref="L41:L48" si="43">EXP((-2*C$40)/K41)</f>
        <v>6.8748473917888458E-4</v>
      </c>
      <c r="M41" s="38">
        <f t="shared" si="6"/>
        <v>1.8643497483074146E-4</v>
      </c>
      <c r="N41" s="111"/>
      <c r="O41" s="111"/>
      <c r="P41" s="108"/>
      <c r="R41" s="24" t="s">
        <v>112</v>
      </c>
      <c r="T41" t="s">
        <v>121</v>
      </c>
      <c r="V41" t="s">
        <v>108</v>
      </c>
    </row>
    <row r="42" spans="1:25" ht="14.95" thickBot="1" x14ac:dyDescent="0.3">
      <c r="A42" s="17" t="s">
        <v>40</v>
      </c>
      <c r="B42" s="17">
        <v>10</v>
      </c>
      <c r="C42" s="100"/>
      <c r="D42" s="104"/>
      <c r="E42" s="4">
        <v>30</v>
      </c>
      <c r="F42" s="37">
        <v>23.610066116000468</v>
      </c>
      <c r="G42" s="41">
        <f t="shared" si="0"/>
        <v>0.23610066116000467</v>
      </c>
      <c r="H42" s="25">
        <f t="shared" si="2"/>
        <v>1.0088279766499177</v>
      </c>
      <c r="I42" s="25">
        <f t="shared" si="3"/>
        <v>0.88760395313909268</v>
      </c>
      <c r="J42" s="25">
        <f t="shared" si="42"/>
        <v>58.072028740191833</v>
      </c>
      <c r="K42" s="25">
        <f t="shared" si="1"/>
        <v>15.487399547784783</v>
      </c>
      <c r="L42" s="38">
        <f t="shared" si="43"/>
        <v>1.2124206612816242E-3</v>
      </c>
      <c r="M42" s="38">
        <f t="shared" si="6"/>
        <v>2.8625331973264155E-4</v>
      </c>
      <c r="N42" s="111"/>
      <c r="O42" s="111"/>
      <c r="P42" s="108"/>
      <c r="R42">
        <f>18/9.81</f>
        <v>1.8348623853211008</v>
      </c>
      <c r="T42">
        <v>2.2000000000000002</v>
      </c>
      <c r="V42">
        <v>1001.4250000000001</v>
      </c>
    </row>
    <row r="43" spans="1:25" ht="14.95" thickBot="1" x14ac:dyDescent="0.3">
      <c r="A43" s="17" t="s">
        <v>41</v>
      </c>
      <c r="B43" s="17">
        <v>11</v>
      </c>
      <c r="C43" s="100"/>
      <c r="D43" s="102">
        <v>2</v>
      </c>
      <c r="E43" s="2">
        <v>5</v>
      </c>
      <c r="F43" s="25">
        <v>25.131119513008954</v>
      </c>
      <c r="G43" s="41">
        <f t="shared" si="0"/>
        <v>0.25131119513008954</v>
      </c>
      <c r="H43" s="25">
        <f t="shared" si="2"/>
        <v>1.0088279766499177</v>
      </c>
      <c r="I43" s="25">
        <f t="shared" si="3"/>
        <v>0.88909687064235843</v>
      </c>
      <c r="J43" s="25">
        <f t="shared" si="42"/>
        <v>57.974517714094368</v>
      </c>
      <c r="K43" s="25">
        <f t="shared" si="1"/>
        <v>14.928971365073066</v>
      </c>
      <c r="L43" s="38">
        <f t="shared" si="43"/>
        <v>9.4311668089166014E-4</v>
      </c>
      <c r="M43" s="38">
        <f t="shared" si="6"/>
        <v>2.3701578022200639E-4</v>
      </c>
      <c r="N43" s="110">
        <f t="shared" ref="N43" si="44">SUM(M43:M45)</f>
        <v>6.8954014086971323E-4</v>
      </c>
      <c r="O43" s="110">
        <f t="shared" ref="O43" si="45">SUM(L43:L45)</f>
        <v>2.7170236497250271E-3</v>
      </c>
      <c r="P43" s="107">
        <f t="shared" ref="P43" si="46">N43/O43</f>
        <v>0.25378510817875921</v>
      </c>
    </row>
    <row r="44" spans="1:25" ht="14.95" thickBot="1" x14ac:dyDescent="0.3">
      <c r="A44" s="17" t="s">
        <v>37</v>
      </c>
      <c r="B44" s="17">
        <v>12</v>
      </c>
      <c r="C44" s="100"/>
      <c r="D44" s="103"/>
      <c r="E44" s="3">
        <v>15</v>
      </c>
      <c r="F44" s="36">
        <v>25.598939366725382</v>
      </c>
      <c r="G44" s="41">
        <f t="shared" si="0"/>
        <v>0.25598939366725382</v>
      </c>
      <c r="H44" s="25">
        <f t="shared" si="2"/>
        <v>1.0088279766499177</v>
      </c>
      <c r="I44" s="25">
        <f t="shared" si="3"/>
        <v>0.88951537210442044</v>
      </c>
      <c r="J44" s="25">
        <f t="shared" si="42"/>
        <v>57.947241715065495</v>
      </c>
      <c r="K44" s="25">
        <f t="shared" si="1"/>
        <v>14.768648212203336</v>
      </c>
      <c r="L44" s="38">
        <f t="shared" si="43"/>
        <v>8.7442465162717957E-4</v>
      </c>
      <c r="M44" s="38">
        <f t="shared" si="6"/>
        <v>2.2384343637774136E-4</v>
      </c>
      <c r="N44" s="111"/>
      <c r="O44" s="111"/>
      <c r="P44" s="108"/>
    </row>
    <row r="45" spans="1:25" ht="14.95" thickBot="1" x14ac:dyDescent="0.3">
      <c r="A45" s="17" t="s">
        <v>38</v>
      </c>
      <c r="B45" s="17">
        <v>13</v>
      </c>
      <c r="C45" s="100"/>
      <c r="D45" s="104"/>
      <c r="E45" s="4">
        <v>30</v>
      </c>
      <c r="F45" s="37">
        <v>25.423615328009291</v>
      </c>
      <c r="G45" s="41">
        <f t="shared" si="0"/>
        <v>0.25423615328009291</v>
      </c>
      <c r="H45" s="25">
        <f t="shared" si="2"/>
        <v>1.0088279766499177</v>
      </c>
      <c r="I45" s="25">
        <f t="shared" si="3"/>
        <v>0.88936064885935195</v>
      </c>
      <c r="J45" s="25">
        <f t="shared" si="42"/>
        <v>57.95732287313384</v>
      </c>
      <c r="K45" s="25">
        <f t="shared" si="1"/>
        <v>14.828140786284887</v>
      </c>
      <c r="L45" s="38">
        <f t="shared" si="43"/>
        <v>8.9948231720618748E-4</v>
      </c>
      <c r="M45" s="38">
        <f t="shared" si="6"/>
        <v>2.2868092426996543E-4</v>
      </c>
      <c r="N45" s="111"/>
      <c r="O45" s="111"/>
      <c r="P45" s="108"/>
    </row>
    <row r="46" spans="1:25" ht="14.95" thickBot="1" x14ac:dyDescent="0.3">
      <c r="A46" s="17" t="s">
        <v>42</v>
      </c>
      <c r="B46" s="17">
        <v>14</v>
      </c>
      <c r="C46" s="100"/>
      <c r="D46" s="102">
        <v>3</v>
      </c>
      <c r="E46" s="2">
        <v>5</v>
      </c>
      <c r="F46" s="25">
        <v>39.287243653721546</v>
      </c>
      <c r="G46" s="41">
        <f t="shared" si="0"/>
        <v>0.39287243653721549</v>
      </c>
      <c r="H46" s="25">
        <f t="shared" si="2"/>
        <v>1.0088279766499177</v>
      </c>
      <c r="I46" s="25">
        <f t="shared" si="3"/>
        <v>0.89631092867593054</v>
      </c>
      <c r="J46" s="25">
        <f t="shared" si="42"/>
        <v>57.507903370927025</v>
      </c>
      <c r="K46" s="25">
        <f t="shared" si="1"/>
        <v>11.601512419031511</v>
      </c>
      <c r="L46" s="38">
        <f t="shared" si="43"/>
        <v>1.2788892284041169E-4</v>
      </c>
      <c r="M46" s="38">
        <f t="shared" si="6"/>
        <v>5.0244032722432493E-5</v>
      </c>
      <c r="N46" s="110">
        <f t="shared" ref="N46" si="47">SUM(M46:M48)</f>
        <v>2.9844052133975898E-4</v>
      </c>
      <c r="O46" s="110">
        <f t="shared" ref="O46" si="48">SUM(L46:L48)</f>
        <v>9.3793753206291338E-4</v>
      </c>
      <c r="P46" s="107">
        <f t="shared" ref="P46" si="49">N46/O46</f>
        <v>0.3181880574534261</v>
      </c>
    </row>
    <row r="47" spans="1:25" ht="14.95" thickBot="1" x14ac:dyDescent="0.3">
      <c r="A47" s="17" t="s">
        <v>43</v>
      </c>
      <c r="B47" s="17">
        <v>15</v>
      </c>
      <c r="C47" s="100"/>
      <c r="D47" s="103"/>
      <c r="E47" s="3">
        <v>15</v>
      </c>
      <c r="F47" s="36">
        <v>30.648480759908665</v>
      </c>
      <c r="G47" s="41">
        <f t="shared" si="0"/>
        <v>0.30648480759908664</v>
      </c>
      <c r="H47" s="25">
        <f t="shared" si="2"/>
        <v>1.0088279766499177</v>
      </c>
      <c r="I47" s="25">
        <f t="shared" si="3"/>
        <v>0.8930468354162634</v>
      </c>
      <c r="J47" s="25">
        <f t="shared" si="42"/>
        <v>57.718095213422203</v>
      </c>
      <c r="K47" s="25">
        <f t="shared" si="1"/>
        <v>13.311429596930104</v>
      </c>
      <c r="L47" s="38">
        <f t="shared" si="43"/>
        <v>4.0450972873136253E-4</v>
      </c>
      <c r="M47" s="38">
        <f t="shared" si="6"/>
        <v>1.2397608638219036E-4</v>
      </c>
      <c r="N47" s="111"/>
      <c r="O47" s="111"/>
      <c r="P47" s="108"/>
    </row>
    <row r="48" spans="1:25" ht="14.95" thickBot="1" x14ac:dyDescent="0.3">
      <c r="A48" s="18" t="s">
        <v>43</v>
      </c>
      <c r="B48" s="18">
        <v>16</v>
      </c>
      <c r="C48" s="101"/>
      <c r="D48" s="104"/>
      <c r="E48" s="4">
        <v>30</v>
      </c>
      <c r="F48" s="37">
        <v>30.630947662698958</v>
      </c>
      <c r="G48" s="54">
        <f t="shared" si="0"/>
        <v>0.3063094766269896</v>
      </c>
      <c r="H48" s="48">
        <f t="shared" si="2"/>
        <v>1.0088279766499177</v>
      </c>
      <c r="I48" s="25">
        <f t="shared" si="3"/>
        <v>0.89303720716902479</v>
      </c>
      <c r="J48" s="48">
        <f t="shared" si="42"/>
        <v>57.718717498906379</v>
      </c>
      <c r="K48" s="48">
        <f t="shared" si="1"/>
        <v>13.315760274970568</v>
      </c>
      <c r="L48" s="55">
        <f t="shared" si="43"/>
        <v>4.0553888049113919E-4</v>
      </c>
      <c r="M48" s="55">
        <f t="shared" si="6"/>
        <v>1.2422040223513612E-4</v>
      </c>
      <c r="N48" s="112"/>
      <c r="O48" s="112"/>
      <c r="P48" s="109"/>
    </row>
  </sheetData>
  <mergeCells count="59">
    <mergeCell ref="C7:C24"/>
    <mergeCell ref="D7:D9"/>
    <mergeCell ref="D10:D12"/>
    <mergeCell ref="D13:D15"/>
    <mergeCell ref="D16:D18"/>
    <mergeCell ref="D19:D21"/>
    <mergeCell ref="D22:D24"/>
    <mergeCell ref="C40:C48"/>
    <mergeCell ref="D40:D42"/>
    <mergeCell ref="D43:D45"/>
    <mergeCell ref="D46:D48"/>
    <mergeCell ref="C25:C39"/>
    <mergeCell ref="D25:D27"/>
    <mergeCell ref="D28:D30"/>
    <mergeCell ref="D31:D33"/>
    <mergeCell ref="D34:D36"/>
    <mergeCell ref="D37:D39"/>
    <mergeCell ref="N28:N30"/>
    <mergeCell ref="N31:N33"/>
    <mergeCell ref="N34:N36"/>
    <mergeCell ref="N7:N9"/>
    <mergeCell ref="N10:N12"/>
    <mergeCell ref="N13:N15"/>
    <mergeCell ref="N16:N18"/>
    <mergeCell ref="N19:N21"/>
    <mergeCell ref="N37:N39"/>
    <mergeCell ref="N40:N42"/>
    <mergeCell ref="N43:N45"/>
    <mergeCell ref="N46:N48"/>
    <mergeCell ref="O7:O9"/>
    <mergeCell ref="O22:O24"/>
    <mergeCell ref="O25:O27"/>
    <mergeCell ref="O28:O30"/>
    <mergeCell ref="O31:O33"/>
    <mergeCell ref="O34:O36"/>
    <mergeCell ref="O37:O39"/>
    <mergeCell ref="O40:O42"/>
    <mergeCell ref="O43:O45"/>
    <mergeCell ref="O46:O48"/>
    <mergeCell ref="N22:N24"/>
    <mergeCell ref="N25:N27"/>
    <mergeCell ref="P7:P9"/>
    <mergeCell ref="O10:O12"/>
    <mergeCell ref="O13:O15"/>
    <mergeCell ref="O16:O18"/>
    <mergeCell ref="O19:O21"/>
    <mergeCell ref="P10:P12"/>
    <mergeCell ref="P13:P15"/>
    <mergeCell ref="P16:P18"/>
    <mergeCell ref="P19:P21"/>
    <mergeCell ref="P37:P39"/>
    <mergeCell ref="P40:P42"/>
    <mergeCell ref="P43:P45"/>
    <mergeCell ref="P46:P48"/>
    <mergeCell ref="P22:P24"/>
    <mergeCell ref="P25:P27"/>
    <mergeCell ref="P28:P30"/>
    <mergeCell ref="P31:P33"/>
    <mergeCell ref="P34:P3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F2CC-2850-42FB-AC43-13371F2AFA80}">
  <dimension ref="A3:AI48"/>
  <sheetViews>
    <sheetView topLeftCell="W1" zoomScale="85" zoomScaleNormal="85" workbookViewId="0">
      <selection activeCell="X7" sqref="X7"/>
    </sheetView>
  </sheetViews>
  <sheetFormatPr defaultRowHeight="14.3" x14ac:dyDescent="0.25"/>
  <cols>
    <col min="1" max="1" width="7.75" bestFit="1" customWidth="1"/>
    <col min="2" max="2" width="8.375" bestFit="1" customWidth="1"/>
    <col min="3" max="3" width="7.625" bestFit="1" customWidth="1"/>
    <col min="4" max="4" width="5.25" bestFit="1" customWidth="1"/>
    <col min="5" max="5" width="17.75" bestFit="1" customWidth="1"/>
    <col min="6" max="6" width="17.75" customWidth="1"/>
    <col min="7" max="7" width="22.625" bestFit="1" customWidth="1"/>
    <col min="11" max="11" width="12.125" bestFit="1" customWidth="1"/>
    <col min="12" max="12" width="11.875" bestFit="1" customWidth="1"/>
    <col min="13" max="13" width="13.125" bestFit="1" customWidth="1"/>
    <col min="15" max="15" width="11" bestFit="1" customWidth="1"/>
    <col min="17" max="17" width="11.375" bestFit="1" customWidth="1"/>
    <col min="19" max="19" width="20.75" customWidth="1"/>
    <col min="20" max="20" width="9.75" bestFit="1" customWidth="1"/>
    <col min="21" max="22" width="16.75" bestFit="1" customWidth="1"/>
    <col min="23" max="23" width="12.125" bestFit="1" customWidth="1"/>
  </cols>
  <sheetData>
    <row r="3" spans="1:35" x14ac:dyDescent="0.25">
      <c r="AA3" t="s">
        <v>117</v>
      </c>
      <c r="AI3" t="s">
        <v>118</v>
      </c>
    </row>
    <row r="4" spans="1:35" ht="14.95" thickBot="1" x14ac:dyDescent="0.3"/>
    <row r="5" spans="1:35" ht="14.95" thickBot="1" x14ac:dyDescent="0.3">
      <c r="K5" s="116" t="s">
        <v>117</v>
      </c>
      <c r="L5" s="117"/>
      <c r="M5" s="117"/>
      <c r="N5" s="117"/>
      <c r="O5" s="117"/>
      <c r="P5" s="117"/>
      <c r="Q5" s="117"/>
      <c r="R5" s="117"/>
      <c r="S5" s="118"/>
      <c r="T5" s="45" t="s">
        <v>118</v>
      </c>
    </row>
    <row r="6" spans="1:35" ht="17.7" thickBot="1" x14ac:dyDescent="0.3">
      <c r="A6" s="15" t="s">
        <v>81</v>
      </c>
      <c r="B6" s="15" t="s">
        <v>54</v>
      </c>
      <c r="C6" s="1" t="s">
        <v>1</v>
      </c>
      <c r="D6" s="5" t="s">
        <v>0</v>
      </c>
      <c r="E6" s="6" t="s">
        <v>2</v>
      </c>
      <c r="F6" s="15" t="s">
        <v>120</v>
      </c>
      <c r="G6" s="15" t="s">
        <v>126</v>
      </c>
      <c r="H6" s="15" t="s">
        <v>91</v>
      </c>
      <c r="I6" s="15" t="s">
        <v>92</v>
      </c>
      <c r="J6" s="43" t="s">
        <v>110</v>
      </c>
      <c r="K6" s="15" t="s">
        <v>83</v>
      </c>
      <c r="L6" s="15" t="s">
        <v>84</v>
      </c>
      <c r="M6" s="15" t="s">
        <v>85</v>
      </c>
      <c r="N6" s="15" t="s">
        <v>86</v>
      </c>
      <c r="O6" s="15" t="s">
        <v>87</v>
      </c>
      <c r="P6" s="15" t="s">
        <v>88</v>
      </c>
      <c r="Q6" s="15" t="s">
        <v>89</v>
      </c>
      <c r="R6" s="15" t="s">
        <v>90</v>
      </c>
      <c r="S6" s="15" t="s">
        <v>119</v>
      </c>
      <c r="T6" s="44" t="s">
        <v>119</v>
      </c>
      <c r="U6" s="15" t="s">
        <v>129</v>
      </c>
      <c r="V6" s="15" t="s">
        <v>128</v>
      </c>
      <c r="W6" s="15" t="s">
        <v>127</v>
      </c>
      <c r="X6" s="15"/>
    </row>
    <row r="7" spans="1:35" ht="14.95" thickBot="1" x14ac:dyDescent="0.3">
      <c r="A7" s="16" t="s">
        <v>3</v>
      </c>
      <c r="B7" s="16" t="s">
        <v>55</v>
      </c>
      <c r="C7" s="119">
        <v>2</v>
      </c>
      <c r="D7" s="122">
        <v>1</v>
      </c>
      <c r="E7" s="2">
        <v>5</v>
      </c>
      <c r="F7" s="41">
        <v>0.25389338166150982</v>
      </c>
      <c r="G7" s="113">
        <v>0.22798518615720603</v>
      </c>
      <c r="H7" s="42">
        <v>1.0135545069638157</v>
      </c>
      <c r="I7" s="42">
        <v>0.88933010496198062</v>
      </c>
      <c r="J7" s="42">
        <f>$C$7/H7/I7</f>
        <v>2.2188088656766323</v>
      </c>
      <c r="K7" s="113">
        <f>$Z$29*(1+$AC$29*$AA$43)*EXP(-$AA$29*G7)+$AB$29*(1+$AE$29*$AA$43)-($AD$29*G7)</f>
        <v>10047.619478994911</v>
      </c>
      <c r="L7" s="113">
        <f>(($AD$30*$AA$43-$Z$30)*EXP(-($AA$30*G7)/(1+$AE$30*G7))+$AB$30)*(1+$AC$30*AA43)</f>
        <v>1.0477536252931904E-2</v>
      </c>
      <c r="M7" s="113">
        <f>$Z$31*(1+$AC$31*$AA$43)*EXP(-$AA$31*G7)+$AB$31-$AD$31*G7</f>
        <v>316956.72136938269</v>
      </c>
      <c r="N7" s="113">
        <f>$Z$32*EXP(-$AA$32*G7)+$AB$32-$AC$32*G7+$AD$32*$AA$43</f>
        <v>0.62475689094580855</v>
      </c>
      <c r="O7" s="113">
        <f>($Z$33-$AA$33/($AB$33*F7+$AA$43-0.13))*($AC$33-F7)*EXP(-$AD$33*F7)-$AE$33*$AA$43*F7+$AF$33</f>
        <v>2585.8090615854153</v>
      </c>
      <c r="P7" s="113">
        <f>$Z$34*(AA43+$AA$34)+$AB$34*F7</f>
        <v>6.6706163394852037E-3</v>
      </c>
      <c r="Q7" s="113">
        <f>($Z$35*(1-$AF$35*$AA$43)*EXP(-$AA$35*F7*(1-$AD$35*$AA$43))+$AB$35-$AE$35*F7)*(2+$AC$35*AA43)</f>
        <v>8023.3252651930179</v>
      </c>
      <c r="R7" s="113">
        <f>(($AD$36*$AA$43-$Z$36)*EXP((-$AA$36*F7)/(1+$AE$36*$AA$43+$AF$36*F7))+$AB$36)*(2+$AC$36*$AA$43)</f>
        <v>1.6894248759808918E-2</v>
      </c>
      <c r="S7" s="42">
        <f>K7*EXP(-L7*J7)+M7*EXP(-N7*J7)</f>
        <v>89062.109822227736</v>
      </c>
      <c r="T7" s="42">
        <f>30*EXP(-J7/1.6)+EXP(-J7/100)</f>
        <v>8.4745982044554342</v>
      </c>
      <c r="U7" s="42">
        <f>G7*S7</f>
        <v>20304.841687374119</v>
      </c>
      <c r="V7" s="49">
        <f>SUM(U7:U48)</f>
        <v>385994.25362716359</v>
      </c>
      <c r="W7" s="49">
        <f>SUM(S7:S48)</f>
        <v>1755246.1386889799</v>
      </c>
      <c r="X7" s="52">
        <f>V7/W7</f>
        <v>0.21990890344044203</v>
      </c>
    </row>
    <row r="8" spans="1:35" ht="14.95" thickBot="1" x14ac:dyDescent="0.3">
      <c r="A8" s="17" t="s">
        <v>4</v>
      </c>
      <c r="B8" s="17" t="s">
        <v>56</v>
      </c>
      <c r="C8" s="120"/>
      <c r="D8" s="123"/>
      <c r="E8" s="3">
        <v>15</v>
      </c>
      <c r="F8" s="41">
        <v>0.23701944853971124</v>
      </c>
      <c r="G8" s="114"/>
      <c r="H8" s="50">
        <v>1.0135545069638157</v>
      </c>
      <c r="I8" s="50">
        <v>0.88770021540798982</v>
      </c>
      <c r="J8" s="50">
        <f t="shared" ref="J8:J24" si="0">$C$7/H8/I8</f>
        <v>2.222882778614466</v>
      </c>
      <c r="K8" s="114"/>
      <c r="L8" s="114"/>
      <c r="M8" s="114"/>
      <c r="N8" s="114"/>
      <c r="O8" s="114"/>
      <c r="P8" s="114"/>
      <c r="Q8" s="114"/>
      <c r="R8" s="114"/>
      <c r="S8" s="50">
        <f>K7*EXP(-L7*J8)+M7*EXP(-N7*J8)</f>
        <v>88860.251518254794</v>
      </c>
      <c r="T8" s="50">
        <f t="shared" ref="T8:T48" si="1">30*EXP(-J8/1.6)+EXP(-J8/100)</f>
        <v>8.4554949779362794</v>
      </c>
      <c r="U8" s="50">
        <f>G7*S8</f>
        <v>20258.820984365469</v>
      </c>
    </row>
    <row r="9" spans="1:35" ht="14.95" thickBot="1" x14ac:dyDescent="0.3">
      <c r="A9" s="17" t="s">
        <v>5</v>
      </c>
      <c r="B9" s="17" t="s">
        <v>58</v>
      </c>
      <c r="C9" s="120"/>
      <c r="D9" s="124"/>
      <c r="E9" s="4">
        <v>30</v>
      </c>
      <c r="F9" s="41">
        <v>0.19430404347236574</v>
      </c>
      <c r="G9" s="115"/>
      <c r="H9" s="51">
        <v>1.0135545069638157</v>
      </c>
      <c r="I9" s="51">
        <v>0.88223510598555221</v>
      </c>
      <c r="J9" s="51">
        <f t="shared" si="0"/>
        <v>2.2366526881725415</v>
      </c>
      <c r="K9" s="115"/>
      <c r="L9" s="115"/>
      <c r="M9" s="115"/>
      <c r="N9" s="115"/>
      <c r="O9" s="115"/>
      <c r="P9" s="115"/>
      <c r="Q9" s="115"/>
      <c r="R9" s="115"/>
      <c r="S9" s="51">
        <f>K7*EXP(-L7*J9)+M7*EXP(-N7*J9)</f>
        <v>88181.749147728755</v>
      </c>
      <c r="T9" s="51">
        <f t="shared" si="1"/>
        <v>8.3912838108890551</v>
      </c>
      <c r="U9" s="51">
        <f>G7*S9</f>
        <v>20104.132495112986</v>
      </c>
    </row>
    <row r="10" spans="1:35" ht="14.95" thickBot="1" x14ac:dyDescent="0.3">
      <c r="A10" s="17" t="s">
        <v>6</v>
      </c>
      <c r="B10" s="17" t="s">
        <v>57</v>
      </c>
      <c r="C10" s="120"/>
      <c r="D10" s="82">
        <v>2</v>
      </c>
      <c r="E10" s="2">
        <v>5</v>
      </c>
      <c r="F10" s="41">
        <v>0.23876377790746453</v>
      </c>
      <c r="G10" s="113">
        <v>0.20856565411085889</v>
      </c>
      <c r="H10" s="42">
        <v>1.0135545069638157</v>
      </c>
      <c r="I10" s="42">
        <v>0.88788073477460061</v>
      </c>
      <c r="J10" s="42">
        <f t="shared" si="0"/>
        <v>2.2224308334651579</v>
      </c>
      <c r="K10" s="113">
        <f t="shared" ref="K10" si="2">$Z$29*(1+$AC$29*$AA$43)*EXP(-$AA$29*G10)+$AB$29*(1+$AE$29*$AA$43)-($AD$29*G10)</f>
        <v>10258.243089668253</v>
      </c>
      <c r="L10" s="113">
        <f t="shared" ref="L10" si="3">(($AD$30*$AA$43-$Z$30)*EXP(-($AA$30*G10)/(1+$AE$30*G10))+$AB$30)*(1+$AC$30*AA46)</f>
        <v>1.0068241284654993E-2</v>
      </c>
      <c r="M10" s="113">
        <f t="shared" ref="M10" si="4">$Z$31*(1+$AC$31*$AA$43)*EXP(-$AA$31*G10)+$AB$31-$AD$31*G10</f>
        <v>322691.2205736473</v>
      </c>
      <c r="N10" s="113">
        <f t="shared" ref="N10" si="5">$Z$32*EXP(-$AA$32*G10)+$AB$32-$AC$32*G10+$AD$32*$AA$43</f>
        <v>0.6265216998010209</v>
      </c>
      <c r="O10" s="113">
        <f t="shared" ref="O10" si="6">($Z$33-$AA$33/($AB$33*F10+$AA$43-0.13))*($AC$33-F10)*EXP(-$AD$33*F10)-$AE$33*$AA$43*F10+$AF$33</f>
        <v>2799.0257503003763</v>
      </c>
      <c r="P10" s="113">
        <f t="shared" ref="P10" si="7">$Z$34*(AA46+$AA$34)+$AB$34*F10</f>
        <v>6.0897197993348608E-3</v>
      </c>
      <c r="Q10" s="113">
        <f t="shared" ref="Q10" si="8">($Z$35*(1-$AF$35*$AA$43)*EXP(-$AA$35*F10*(1-$AD$35*$AA$43))+$AB$35-$AE$35*F10)*(2+$AC$35*AA46)</f>
        <v>7443.6164786481368</v>
      </c>
      <c r="R10" s="113">
        <f t="shared" ref="R10" si="9">(($AD$36*$AA$43-$Z$36)*EXP((-$AA$36*F10)/(1+$AE$36*$AA$43+$AF$36*F10))+$AB$36)*(2+$AC$36*$AA$43)</f>
        <v>1.6809222351299669E-2</v>
      </c>
      <c r="S10" s="42">
        <f>K10*EXP(-L10*J10)+M10*EXP(-N10*J10)</f>
        <v>90212.909053169467</v>
      </c>
      <c r="T10" s="42">
        <f t="shared" si="1"/>
        <v>8.4576118277287406</v>
      </c>
      <c r="U10" s="42">
        <f t="shared" ref="U10" si="10">G10*S10</f>
        <v>18815.314385917714</v>
      </c>
    </row>
    <row r="11" spans="1:35" ht="14.95" thickBot="1" x14ac:dyDescent="0.3">
      <c r="A11" s="17" t="s">
        <v>7</v>
      </c>
      <c r="B11" s="17" t="s">
        <v>59</v>
      </c>
      <c r="C11" s="120"/>
      <c r="D11" s="87">
        <v>2</v>
      </c>
      <c r="E11" s="3">
        <v>15</v>
      </c>
      <c r="F11" s="41">
        <v>0.17755669784981115</v>
      </c>
      <c r="G11" s="114"/>
      <c r="H11" s="50">
        <v>1.0135545069638157</v>
      </c>
      <c r="I11" s="50">
        <v>0.87942960322193664</v>
      </c>
      <c r="J11" s="50">
        <f t="shared" si="0"/>
        <v>2.2437879213679297</v>
      </c>
      <c r="K11" s="114"/>
      <c r="L11" s="114"/>
      <c r="M11" s="114"/>
      <c r="N11" s="114"/>
      <c r="O11" s="114"/>
      <c r="P11" s="114"/>
      <c r="Q11" s="114"/>
      <c r="R11" s="114"/>
      <c r="S11" s="50">
        <f>K10*EXP(-L10*J11)+M10*EXP(-N10*J11)</f>
        <v>89145.013348155087</v>
      </c>
      <c r="T11" s="50">
        <f t="shared" si="1"/>
        <v>8.3582274258465148</v>
      </c>
      <c r="U11" s="50">
        <f t="shared" ref="U11" si="11">G10*S11</f>
        <v>18592.588019679213</v>
      </c>
    </row>
    <row r="12" spans="1:35" ht="14.95" thickBot="1" x14ac:dyDescent="0.3">
      <c r="A12" s="17" t="s">
        <v>8</v>
      </c>
      <c r="B12" s="17" t="s">
        <v>60</v>
      </c>
      <c r="C12" s="120"/>
      <c r="D12" s="53"/>
      <c r="E12" s="4">
        <v>30</v>
      </c>
      <c r="F12" s="41">
        <v>0.21066950379233071</v>
      </c>
      <c r="G12" s="115"/>
      <c r="H12" s="51">
        <v>1.0135545069638157</v>
      </c>
      <c r="I12" s="51">
        <v>0.88458724287603741</v>
      </c>
      <c r="J12" s="51">
        <f t="shared" si="0"/>
        <v>2.2307053795928375</v>
      </c>
      <c r="K12" s="115"/>
      <c r="L12" s="115"/>
      <c r="M12" s="115"/>
      <c r="N12" s="115"/>
      <c r="O12" s="115"/>
      <c r="P12" s="115"/>
      <c r="Q12" s="115"/>
      <c r="R12" s="115"/>
      <c r="S12" s="51">
        <f>K10*EXP(-L10*J12)+M10*EXP(-N10*J12)</f>
        <v>89797.472644959227</v>
      </c>
      <c r="T12" s="51">
        <f t="shared" si="1"/>
        <v>8.4189493663124573</v>
      </c>
      <c r="U12" s="51">
        <f t="shared" ref="U12" si="12">G10*S12</f>
        <v>18728.668619697881</v>
      </c>
    </row>
    <row r="13" spans="1:35" ht="14.95" thickBot="1" x14ac:dyDescent="0.3">
      <c r="A13" s="17" t="s">
        <v>9</v>
      </c>
      <c r="B13" s="17" t="s">
        <v>61</v>
      </c>
      <c r="C13" s="120"/>
      <c r="D13" s="82">
        <v>3</v>
      </c>
      <c r="E13" s="2">
        <v>5</v>
      </c>
      <c r="F13" s="41">
        <v>0.33374545092911378</v>
      </c>
      <c r="G13" s="113">
        <v>0.26543164475162018</v>
      </c>
      <c r="H13" s="42">
        <v>1.0135545069638157</v>
      </c>
      <c r="I13" s="42">
        <v>0.89436894186016846</v>
      </c>
      <c r="J13" s="42">
        <f t="shared" si="0"/>
        <v>2.2063081901062747</v>
      </c>
      <c r="K13" s="113">
        <f t="shared" ref="K13" si="13">$Z$29*(1+$AC$29*$AA$43)*EXP(-$AA$29*G13)+$AB$29*(1+$AE$29*$AA$43)-($AD$29*G13)</f>
        <v>9668.2234626873687</v>
      </c>
      <c r="L13" s="113">
        <f t="shared" ref="L13" si="14">(($AD$30*$AA$43-$Z$30)*EXP(-($AA$30*G13)/(1+$AE$30*G13))+$AB$30)*(1+$AC$30*AA49)</f>
        <v>1.052391147831476E-2</v>
      </c>
      <c r="M13" s="113">
        <f t="shared" ref="M13" si="15">$Z$31*(1+$AC$31*$AA$43)*EXP(-$AA$31*G13)+$AB$31-$AD$31*G13</f>
        <v>306548.77132036298</v>
      </c>
      <c r="N13" s="113">
        <f t="shared" ref="N13" si="16">$Z$32*EXP(-$AA$32*G13)+$AB$32-$AC$32*G13+$AD$32*$AA$43</f>
        <v>0.62154774549418068</v>
      </c>
      <c r="O13" s="113">
        <f t="shared" ref="O13" si="17">($Z$33-$AA$33/($AB$33*F13+$AA$43-0.13))*($AC$33-F13)*EXP(-$AD$33*F13)-$AE$33*$AA$43*F13+$AF$33</f>
        <v>1767.2002144831251</v>
      </c>
      <c r="P13" s="113">
        <f t="shared" ref="P13" si="18">$Z$34*(AA49+$AA$34)+$AB$34*F13</f>
        <v>6.2210414604545929E-3</v>
      </c>
      <c r="Q13" s="113">
        <f t="shared" ref="Q13" si="19">($Z$35*(1-$AF$35*$AA$43)*EXP(-$AA$35*F13*(1-$AD$35*$AA$43))+$AB$35-$AE$35*F13)*(2+$AC$35*AA49)</f>
        <v>6807.6416188922449</v>
      </c>
      <c r="R13" s="113">
        <f t="shared" ref="R13" si="20">(($AD$36*$AA$43-$Z$36)*EXP((-$AA$36*F13)/(1+$AE$36*$AA$43+$AF$36*F13))+$AB$36)*(2+$AC$36*$AA$43)</f>
        <v>1.7228705288345567E-2</v>
      </c>
      <c r="S13" s="42">
        <f t="shared" ref="S13:S31" si="21">K13*EXP(-L13*J13)+M13*EXP(-N13*J13)</f>
        <v>87239.286758906557</v>
      </c>
      <c r="T13" s="42">
        <f t="shared" si="1"/>
        <v>8.5335197730496795</v>
      </c>
      <c r="U13" s="42">
        <f t="shared" ref="U13" si="22">G13*S13</f>
        <v>23156.067371374807</v>
      </c>
    </row>
    <row r="14" spans="1:35" ht="14.95" thickBot="1" x14ac:dyDescent="0.3">
      <c r="A14" s="17" t="s">
        <v>10</v>
      </c>
      <c r="B14" s="17" t="s">
        <v>62</v>
      </c>
      <c r="C14" s="120"/>
      <c r="D14" s="87">
        <v>3</v>
      </c>
      <c r="E14" s="3">
        <v>15</v>
      </c>
      <c r="F14" s="41">
        <v>0.24530405211933462</v>
      </c>
      <c r="G14" s="114"/>
      <c r="H14" s="50">
        <v>1.0135545069638157</v>
      </c>
      <c r="I14" s="50">
        <v>0.88853223148565352</v>
      </c>
      <c r="J14" s="50">
        <f t="shared" si="0"/>
        <v>2.220801284949935</v>
      </c>
      <c r="K14" s="114"/>
      <c r="L14" s="114"/>
      <c r="M14" s="114"/>
      <c r="N14" s="114"/>
      <c r="O14" s="114"/>
      <c r="P14" s="114"/>
      <c r="Q14" s="114"/>
      <c r="R14" s="114"/>
      <c r="S14" s="50">
        <f>K13*EXP(-L13*J14)+M13*EXP(-N13*J14)</f>
        <v>86540.222227150196</v>
      </c>
      <c r="T14" s="50">
        <f t="shared" si="1"/>
        <v>8.4652493684533301</v>
      </c>
      <c r="U14" s="50">
        <f t="shared" ref="U14" si="23">G13*S14</f>
        <v>22970.513522923196</v>
      </c>
    </row>
    <row r="15" spans="1:35" ht="14.95" thickBot="1" x14ac:dyDescent="0.3">
      <c r="A15" s="17" t="s">
        <v>11</v>
      </c>
      <c r="B15" s="17" t="s">
        <v>63</v>
      </c>
      <c r="C15" s="120"/>
      <c r="D15" s="53"/>
      <c r="E15" s="4">
        <v>30</v>
      </c>
      <c r="F15" s="41">
        <v>0.22134173212717353</v>
      </c>
      <c r="G15" s="115"/>
      <c r="H15" s="51">
        <v>1.0135545069638157</v>
      </c>
      <c r="I15" s="51">
        <v>0.88594007211914394</v>
      </c>
      <c r="J15" s="51">
        <f t="shared" si="0"/>
        <v>2.2272990956180649</v>
      </c>
      <c r="K15" s="115"/>
      <c r="L15" s="115"/>
      <c r="M15" s="115"/>
      <c r="N15" s="115"/>
      <c r="O15" s="115"/>
      <c r="P15" s="115"/>
      <c r="Q15" s="115"/>
      <c r="R15" s="115"/>
      <c r="S15" s="51">
        <f>K13*EXP(-L13*J15)+M13*EXP(-N13*J15)</f>
        <v>86228.839379199038</v>
      </c>
      <c r="T15" s="51">
        <f t="shared" si="1"/>
        <v>8.4348409223710377</v>
      </c>
      <c r="U15" s="51">
        <f t="shared" ref="U15" si="24">G13*S15</f>
        <v>22887.862661444076</v>
      </c>
    </row>
    <row r="16" spans="1:35" ht="14.95" thickBot="1" x14ac:dyDescent="0.3">
      <c r="A16" s="17" t="s">
        <v>12</v>
      </c>
      <c r="B16" s="17" t="s">
        <v>64</v>
      </c>
      <c r="C16" s="120"/>
      <c r="D16" s="82">
        <v>4</v>
      </c>
      <c r="E16" s="2">
        <v>5</v>
      </c>
      <c r="F16" s="41">
        <v>0.15228361114549471</v>
      </c>
      <c r="G16" s="113">
        <v>0.17088526659136885</v>
      </c>
      <c r="H16" s="42">
        <v>1.0135545069638157</v>
      </c>
      <c r="I16" s="42">
        <v>0.87428111084459859</v>
      </c>
      <c r="J16" s="42">
        <f t="shared" si="0"/>
        <v>2.2570012058209885</v>
      </c>
      <c r="K16" s="113">
        <f t="shared" ref="K16" si="25">$Z$29*(1+$AC$29*$AA$43)*EXP(-$AA$29*G16)+$AB$29*(1+$AE$29*$AA$43)-($AD$29*G16)</f>
        <v>10722.290498852704</v>
      </c>
      <c r="L16" s="113">
        <f t="shared" ref="L16" si="26">(($AD$30*$AA$43-$Z$30)*EXP(-($AA$30*G16)/(1+$AE$30*G16))+$AB$30)*(1+$AC$30*AA52)</f>
        <v>9.6431611949626232E-3</v>
      </c>
      <c r="M16" s="113">
        <f t="shared" ref="M16" si="27">$Z$31*(1+$AC$31*$AA$43)*EXP(-$AA$31*G16)+$AB$31-$AD$31*G16</f>
        <v>335189.11559379369</v>
      </c>
      <c r="N16" s="113">
        <f t="shared" ref="N16" si="28">$Z$32*EXP(-$AA$32*G16)+$AB$32-$AC$32*G16+$AD$32*$AA$43</f>
        <v>0.63032684494440494</v>
      </c>
      <c r="O16" s="113">
        <f t="shared" ref="O16" si="29">($Z$33-$AA$33/($AB$33*F16+$AA$43-0.13))*($AC$33-F16)*EXP(-$AD$33*F16)-$AE$33*$AA$43*F16+$AF$33</f>
        <v>4451.626694650713</v>
      </c>
      <c r="P16" s="113">
        <f t="shared" ref="P16" si="30">$Z$34*(AA52+$AA$34)+$AB$34*F16</f>
        <v>5.9701523207697609E-3</v>
      </c>
      <c r="Q16" s="113">
        <f t="shared" ref="Q16" si="31">($Z$35*(1-$AF$35*$AA$43)*EXP(-$AA$35*F16*(1-$AD$35*$AA$43))+$AB$35-$AE$35*F16)*(2+$AC$35*AA52)</f>
        <v>8030.7297625536457</v>
      </c>
      <c r="R16" s="113">
        <f t="shared" ref="R16" si="32">(($AD$36*$AA$43-$Z$36)*EXP((-$AA$36*F16)/(1+$AE$36*$AA$43+$AF$36*F16))+$AB$36)*(2+$AC$36*$AA$43)</f>
        <v>1.6065420820180042E-2</v>
      </c>
      <c r="S16" s="42">
        <f>K16*EXP(-L16*J16)+M16*EXP(-N16*J16)</f>
        <v>91297.059442639016</v>
      </c>
      <c r="T16" s="42">
        <f t="shared" si="1"/>
        <v>8.2973995070665083</v>
      </c>
      <c r="U16" s="42">
        <f t="shared" ref="U16" si="33">G16*S16</f>
        <v>15601.322341863417</v>
      </c>
    </row>
    <row r="17" spans="1:32" ht="14.95" thickBot="1" x14ac:dyDescent="0.3">
      <c r="A17" s="17" t="s">
        <v>13</v>
      </c>
      <c r="B17" s="17" t="s">
        <v>65</v>
      </c>
      <c r="C17" s="120"/>
      <c r="D17" s="87">
        <v>4</v>
      </c>
      <c r="E17" s="3">
        <v>15</v>
      </c>
      <c r="F17" s="41">
        <v>0.17220922890227761</v>
      </c>
      <c r="G17" s="114"/>
      <c r="H17" s="50">
        <v>1.0135545069638157</v>
      </c>
      <c r="I17" s="50">
        <v>0.87843830802956568</v>
      </c>
      <c r="J17" s="50">
        <f t="shared" si="0"/>
        <v>2.2463199787233759</v>
      </c>
      <c r="K17" s="114"/>
      <c r="L17" s="114"/>
      <c r="M17" s="114"/>
      <c r="N17" s="114"/>
      <c r="O17" s="114"/>
      <c r="P17" s="114"/>
      <c r="Q17" s="114"/>
      <c r="R17" s="114"/>
      <c r="S17" s="50">
        <f>K16*EXP(-L16*J17)+M16*EXP(-N16*J17)</f>
        <v>91844.012716897705</v>
      </c>
      <c r="T17" s="50">
        <f t="shared" si="1"/>
        <v>8.3465321323420696</v>
      </c>
      <c r="U17" s="50">
        <f t="shared" ref="U17" si="34">G16*S17</f>
        <v>15694.788597948136</v>
      </c>
    </row>
    <row r="18" spans="1:32" ht="14.95" thickBot="1" x14ac:dyDescent="0.3">
      <c r="A18" s="17" t="s">
        <v>14</v>
      </c>
      <c r="B18" s="17" t="s">
        <v>66</v>
      </c>
      <c r="C18" s="120"/>
      <c r="D18" s="53"/>
      <c r="E18" s="4">
        <v>30</v>
      </c>
      <c r="F18" s="41">
        <v>0.18866051666751132</v>
      </c>
      <c r="G18" s="115"/>
      <c r="H18" s="51">
        <v>1.0135545069638157</v>
      </c>
      <c r="I18" s="51">
        <v>0.88133782764183244</v>
      </c>
      <c r="J18" s="51">
        <f t="shared" si="0"/>
        <v>2.2389297945857427</v>
      </c>
      <c r="K18" s="115"/>
      <c r="L18" s="115"/>
      <c r="M18" s="115"/>
      <c r="N18" s="115"/>
      <c r="O18" s="115"/>
      <c r="P18" s="115"/>
      <c r="Q18" s="115"/>
      <c r="R18" s="115"/>
      <c r="S18" s="51">
        <f>K16*EXP(-L16*J18)+M16*EXP(-N16*J18)</f>
        <v>92224.598545615707</v>
      </c>
      <c r="T18" s="51">
        <f t="shared" si="1"/>
        <v>8.3807183571397985</v>
      </c>
      <c r="U18" s="51">
        <f t="shared" ref="U18" si="35">G16*S18</f>
        <v>15759.825108749508</v>
      </c>
    </row>
    <row r="19" spans="1:32" ht="14.95" thickBot="1" x14ac:dyDescent="0.3">
      <c r="A19" s="17" t="s">
        <v>15</v>
      </c>
      <c r="B19" s="17" t="s">
        <v>67</v>
      </c>
      <c r="C19" s="120"/>
      <c r="D19" s="82">
        <v>5</v>
      </c>
      <c r="E19" s="2">
        <v>5</v>
      </c>
      <c r="F19" s="41">
        <v>0.19448044906209938</v>
      </c>
      <c r="G19" s="113">
        <v>0.19599181501096305</v>
      </c>
      <c r="H19" s="42">
        <v>1.0135545069638157</v>
      </c>
      <c r="I19" s="42">
        <v>0.88226240517089138</v>
      </c>
      <c r="J19" s="42">
        <f t="shared" si="0"/>
        <v>2.2365834811022687</v>
      </c>
      <c r="K19" s="113">
        <f t="shared" ref="K19" si="36">$Z$29*(1+$AC$29*$AA$43)*EXP(-$AA$29*G19)+$AB$29*(1+$AE$29*$AA$43)-($AD$29*G19)</f>
        <v>10402.961024099419</v>
      </c>
      <c r="L19" s="113">
        <f t="shared" ref="L19" si="37">(($AD$30*$AA$43-$Z$30)*EXP(-($AA$30*G19)/(1+$AE$30*G19))+$AB$30)*(1+$AC$30*AA55)</f>
        <v>9.9402493544146729E-3</v>
      </c>
      <c r="M19" s="113">
        <f t="shared" ref="M19" si="38">$Z$31*(1+$AC$31*$AA$43)*EXP(-$AA$31*G19)+$AB$31-$AD$31*G19</f>
        <v>326609.47676656174</v>
      </c>
      <c r="N19" s="113">
        <f t="shared" ref="N19" si="39">$Z$32*EXP(-$AA$32*G19)+$AB$32-$AC$32*G19+$AD$32*$AA$43</f>
        <v>0.6277227837850593</v>
      </c>
      <c r="O19" s="113">
        <f t="shared" ref="O19" si="40">($Z$33-$AA$33/($AB$33*F19+$AA$43-0.13))*($AC$33-F19)*EXP(-$AD$33*F19)-$AE$33*$AA$43*F19+$AF$33</f>
        <v>3548.9524315129179</v>
      </c>
      <c r="P19" s="113">
        <f t="shared" ref="P19" si="41">$Z$34*(AA55+$AA$34)+$AB$34*F19</f>
        <v>6.0284936688732591E-3</v>
      </c>
      <c r="Q19" s="113">
        <f t="shared" ref="Q19" si="42">($Z$35*(1-$AF$35*$AA$43)*EXP(-$AA$35*F19*(1-$AD$35*$AA$43))+$AB$35-$AE$35*F19)*(2+$AC$35*AA55)</f>
        <v>7740.9124404208214</v>
      </c>
      <c r="R19" s="113">
        <f t="shared" ref="R19" si="43">(($AD$36*$AA$43-$Z$36)*EXP((-$AA$36*F19)/(1+$AE$36*$AA$43+$AF$36*F19))+$AB$36)*(2+$AC$36*$AA$43)</f>
        <v>1.6497091096697006E-2</v>
      </c>
      <c r="S19" s="42">
        <f t="shared" si="21"/>
        <v>90397.274915884773</v>
      </c>
      <c r="T19" s="42">
        <f t="shared" si="1"/>
        <v>8.3916051569861239</v>
      </c>
      <c r="U19" s="42">
        <f t="shared" ref="U19" si="44">G19*S19</f>
        <v>17717.125982809259</v>
      </c>
    </row>
    <row r="20" spans="1:32" ht="14.95" thickBot="1" x14ac:dyDescent="0.3">
      <c r="A20" s="17" t="s">
        <v>16</v>
      </c>
      <c r="B20" s="17" t="s">
        <v>68</v>
      </c>
      <c r="C20" s="120"/>
      <c r="D20" s="87">
        <v>5</v>
      </c>
      <c r="E20" s="3">
        <v>15</v>
      </c>
      <c r="F20" s="41">
        <v>0.16249893227942619</v>
      </c>
      <c r="G20" s="114"/>
      <c r="H20" s="50">
        <v>1.0135545069638157</v>
      </c>
      <c r="I20" s="50">
        <v>0.87650796656492791</v>
      </c>
      <c r="J20" s="50">
        <f t="shared" si="0"/>
        <v>2.251267069637755</v>
      </c>
      <c r="K20" s="114"/>
      <c r="L20" s="114"/>
      <c r="M20" s="114"/>
      <c r="N20" s="114"/>
      <c r="O20" s="114"/>
      <c r="P20" s="114"/>
      <c r="Q20" s="114"/>
      <c r="R20" s="114"/>
      <c r="S20" s="50">
        <f>K19*EXP(-L19*J20)+M19*EXP(-N19*J20)</f>
        <v>89659.753645905599</v>
      </c>
      <c r="T20" s="50">
        <f t="shared" si="1"/>
        <v>8.3237352911176217</v>
      </c>
      <c r="U20" s="50">
        <f t="shared" ref="U20" si="45">G19*S20</f>
        <v>17572.577850496851</v>
      </c>
    </row>
    <row r="21" spans="1:32" ht="14.95" thickBot="1" x14ac:dyDescent="0.3">
      <c r="A21" s="17" t="s">
        <v>17</v>
      </c>
      <c r="B21" s="17" t="s">
        <v>69</v>
      </c>
      <c r="C21" s="120"/>
      <c r="D21" s="53"/>
      <c r="E21" s="4">
        <v>30</v>
      </c>
      <c r="F21" s="41">
        <v>0.23273399861989191</v>
      </c>
      <c r="G21" s="115"/>
      <c r="H21" s="51">
        <v>1.0135545069638157</v>
      </c>
      <c r="I21" s="51">
        <v>0.88724415019939906</v>
      </c>
      <c r="J21" s="51">
        <f t="shared" si="0"/>
        <v>2.2240253947679496</v>
      </c>
      <c r="K21" s="115"/>
      <c r="L21" s="115"/>
      <c r="M21" s="115"/>
      <c r="N21" s="115"/>
      <c r="O21" s="115"/>
      <c r="P21" s="115"/>
      <c r="Q21" s="115"/>
      <c r="R21" s="115"/>
      <c r="S21" s="51">
        <f>K19*EXP(-L19*J21)+M19*EXP(-N19*J21)</f>
        <v>91033.442205156025</v>
      </c>
      <c r="T21" s="51">
        <f t="shared" si="1"/>
        <v>8.4501457794155783</v>
      </c>
      <c r="U21" s="51">
        <f t="shared" ref="U21" si="46">G19*S21</f>
        <v>17841.809564484134</v>
      </c>
    </row>
    <row r="22" spans="1:32" ht="14.95" thickBot="1" x14ac:dyDescent="0.3">
      <c r="A22" s="17" t="s">
        <v>18</v>
      </c>
      <c r="B22" s="17" t="s">
        <v>70</v>
      </c>
      <c r="C22" s="120"/>
      <c r="D22" s="82">
        <v>6</v>
      </c>
      <c r="E22" s="2">
        <v>5</v>
      </c>
      <c r="F22" s="41">
        <v>0.26393863113062332</v>
      </c>
      <c r="G22" s="113">
        <v>0.24325383351358609</v>
      </c>
      <c r="H22" s="42">
        <v>1.0135545069638157</v>
      </c>
      <c r="I22" s="42">
        <v>0.89018625100103932</v>
      </c>
      <c r="J22" s="42">
        <f t="shared" si="0"/>
        <v>2.216674902790055</v>
      </c>
      <c r="K22" s="113">
        <f t="shared" ref="K22" si="47">$Z$29*(1+$AC$29*$AA$43)*EXP(-$AA$29*G22)+$AB$29*(1+$AE$29*$AA$43)-($AD$29*G22)</f>
        <v>9889.7143922546002</v>
      </c>
      <c r="L22" s="113">
        <f t="shared" ref="L22" si="48">(($AD$30*$AA$43-$Z$30)*EXP(-($AA$30*G22)/(1+$AE$30*G22))+$AB$30)*(1+$AC$30*AA58)</f>
        <v>1.0366473629718192E-2</v>
      </c>
      <c r="M22" s="113">
        <f t="shared" ref="M22" si="49">$Z$31*(1+$AC$31*$AA$43)*EXP(-$AA$31*G22)+$AB$31-$AD$31*G22</f>
        <v>312635.60468488984</v>
      </c>
      <c r="N22" s="113">
        <f t="shared" ref="N22" si="50">$Z$32*EXP(-$AA$32*G22)+$AB$32-$AC$32*G22+$AD$32*$AA$43</f>
        <v>0.62342460319163262</v>
      </c>
      <c r="O22" s="113">
        <f t="shared" ref="O22" si="51">($Z$33-$AA$33/($AB$33*F22+$AA$43-0.13))*($AC$33-F22)*EXP(-$AD$33*F22)-$AE$33*$AA$43*F22+$AF$33</f>
        <v>2455.4362057836661</v>
      </c>
      <c r="P22" s="113">
        <f t="shared" ref="P22" si="52">$Z$34*(AA58+$AA$34)+$AB$34*F22</f>
        <v>6.1245265514011998E-3</v>
      </c>
      <c r="Q22" s="113">
        <f t="shared" ref="Q22" si="53">($Z$35*(1-$AF$35*$AA$43)*EXP(-$AA$35*F22*(1-$AD$35*$AA$43))+$AB$35-$AE$35*F22)*(2+$AC$35*AA58)</f>
        <v>7275.0085908903475</v>
      </c>
      <c r="R22" s="113">
        <f t="shared" ref="R22" si="54">(($AD$36*$AA$43-$Z$36)*EXP((-$AA$36*F22)/(1+$AE$36*$AA$43+$AF$36*F22))+$AB$36)*(2+$AC$36*$AA$43)</f>
        <v>1.6946013323115197E-2</v>
      </c>
      <c r="S22" s="42">
        <f t="shared" si="21"/>
        <v>88165.834899583875</v>
      </c>
      <c r="T22" s="42">
        <f t="shared" si="1"/>
        <v>8.4846240854613573</v>
      </c>
      <c r="U22" s="42">
        <f t="shared" ref="U22" si="55">G22*S22</f>
        <v>21446.677324249693</v>
      </c>
    </row>
    <row r="23" spans="1:32" ht="14.95" thickBot="1" x14ac:dyDescent="0.3">
      <c r="A23" s="17" t="s">
        <v>19</v>
      </c>
      <c r="B23" s="17" t="s">
        <v>71</v>
      </c>
      <c r="C23" s="120"/>
      <c r="D23" s="87">
        <v>6</v>
      </c>
      <c r="E23" s="3">
        <v>15</v>
      </c>
      <c r="F23" s="41">
        <v>0.25692221869507015</v>
      </c>
      <c r="G23" s="114"/>
      <c r="H23" s="50">
        <v>1.0135545069638157</v>
      </c>
      <c r="I23" s="50">
        <v>0.88959667679730514</v>
      </c>
      <c r="J23" s="50">
        <f t="shared" si="0"/>
        <v>2.2181439891466441</v>
      </c>
      <c r="K23" s="114"/>
      <c r="L23" s="114"/>
      <c r="M23" s="114"/>
      <c r="N23" s="114"/>
      <c r="O23" s="114"/>
      <c r="P23" s="114"/>
      <c r="Q23" s="114"/>
      <c r="R23" s="114"/>
      <c r="S23" s="50">
        <f>K22*EXP(-L22*J23)+M22*EXP(-N22*J23)</f>
        <v>88093.824533422128</v>
      </c>
      <c r="T23" s="50">
        <f t="shared" si="1"/>
        <v>8.4777205264329556</v>
      </c>
      <c r="U23" s="50">
        <f t="shared" ref="U23" si="56">G22*S23</f>
        <v>21429.160526628133</v>
      </c>
    </row>
    <row r="24" spans="1:32" ht="14.95" thickBot="1" x14ac:dyDescent="0.3">
      <c r="A24" s="17" t="s">
        <v>20</v>
      </c>
      <c r="B24" s="17" t="s">
        <v>72</v>
      </c>
      <c r="C24" s="121"/>
      <c r="D24" s="53"/>
      <c r="E24" s="4">
        <v>30</v>
      </c>
      <c r="F24" s="41">
        <v>0.21001789495363718</v>
      </c>
      <c r="G24" s="115"/>
      <c r="H24" s="51">
        <v>1.0135545069638157</v>
      </c>
      <c r="I24" s="51">
        <v>0.88450023784608089</v>
      </c>
      <c r="J24" s="51">
        <f t="shared" si="0"/>
        <v>2.2309248058632569</v>
      </c>
      <c r="K24" s="115"/>
      <c r="L24" s="115"/>
      <c r="M24" s="115"/>
      <c r="N24" s="115"/>
      <c r="O24" s="115"/>
      <c r="P24" s="115"/>
      <c r="Q24" s="115"/>
      <c r="R24" s="115"/>
      <c r="S24" s="51">
        <f>K22*EXP(-L22*J24)+M22*EXP(-N22*J24)</f>
        <v>87470.115206812901</v>
      </c>
      <c r="T24" s="51">
        <f t="shared" si="1"/>
        <v>8.4179268198330472</v>
      </c>
      <c r="U24" s="51">
        <f t="shared" ref="U24" si="57">G22*S24</f>
        <v>21277.440841932261</v>
      </c>
    </row>
    <row r="25" spans="1:32" ht="14.95" thickBot="1" x14ac:dyDescent="0.3">
      <c r="A25" s="17" t="s">
        <v>21</v>
      </c>
      <c r="B25" s="17" t="s">
        <v>73</v>
      </c>
      <c r="C25" s="119">
        <v>25</v>
      </c>
      <c r="D25" s="122">
        <v>1</v>
      </c>
      <c r="E25" s="2">
        <v>5</v>
      </c>
      <c r="F25" s="41">
        <v>0.2920142323659507</v>
      </c>
      <c r="G25" s="113">
        <v>0.26078174314564179</v>
      </c>
      <c r="H25" s="42">
        <v>1.0135545069638157</v>
      </c>
      <c r="I25" s="42">
        <v>0.89219724011329027</v>
      </c>
      <c r="J25" s="42">
        <f>$C$25/H25/I25</f>
        <v>27.645982198289062</v>
      </c>
      <c r="K25" s="113">
        <f t="shared" ref="K25" si="58">$Z$29*(1+$AC$29*$AA$43)*EXP(-$AA$29*G25)+$AB$29*(1+$AE$29*$AA$43)-($AD$29*G25)</f>
        <v>9714.0652217730349</v>
      </c>
      <c r="L25" s="113">
        <f t="shared" ref="L25" si="59">(($AD$30*$AA$43-$Z$30)*EXP(-($AA$30*G25)/(1+$AE$30*G25))+$AB$30)*(1+$AC$30*AA61)</f>
        <v>1.0492701910010893E-2</v>
      </c>
      <c r="M25" s="113">
        <f t="shared" ref="M25" si="60">$Z$31*(1+$AC$31*$AA$43)*EXP(-$AA$31*G25)+$AB$31-$AD$31*G25</f>
        <v>307810.67559862259</v>
      </c>
      <c r="N25" s="113">
        <f t="shared" ref="N25" si="61">$Z$32*EXP(-$AA$32*G25)+$AB$32-$AC$32*G25+$AD$32*$AA$43</f>
        <v>0.62193674523024323</v>
      </c>
      <c r="O25" s="113">
        <f t="shared" ref="O25" si="62">($Z$33-$AA$33/($AB$33*F25+$AA$43-0.13))*($AC$33-F25)*EXP(-$AD$33*F25)-$AE$33*$AA$43*F25+$AF$33</f>
        <v>2135.2891969422672</v>
      </c>
      <c r="P25" s="113">
        <f t="shared" ref="P25" si="63">$Z$34*(AA61+$AA$34)+$AB$34*F25</f>
        <v>6.1633438776691639E-3</v>
      </c>
      <c r="Q25" s="113">
        <f t="shared" ref="Q25" si="64">($Z$35*(1-$AF$35*$AA$43)*EXP(-$AA$35*F25*(1-$AD$35*$AA$43))+$AB$35-$AE$35*F25)*(2+$AC$35*AA61)</f>
        <v>7087.0289178766834</v>
      </c>
      <c r="R25" s="113">
        <f t="shared" ref="R25" si="65">(($AD$36*$AA$43-$Z$36)*EXP((-$AA$36*F25)/(1+$AE$36*$AA$43+$AF$36*F25))+$AB$36)*(2+$AC$36*$AA$43)</f>
        <v>1.7074037363088788E-2</v>
      </c>
      <c r="S25" s="42">
        <f>K25*EXP(-L25*J25)+M25*EXP(-N25*J25)</f>
        <v>7268.1024896998588</v>
      </c>
      <c r="T25" s="42">
        <f t="shared" si="1"/>
        <v>0.75846503195657666</v>
      </c>
      <c r="U25" s="42">
        <f t="shared" ref="U25" si="66">G25*S25</f>
        <v>1895.3884366251082</v>
      </c>
    </row>
    <row r="26" spans="1:32" ht="14.95" thickBot="1" x14ac:dyDescent="0.3">
      <c r="A26" s="17" t="s">
        <v>22</v>
      </c>
      <c r="B26" s="17" t="s">
        <v>75</v>
      </c>
      <c r="C26" s="120"/>
      <c r="D26" s="123"/>
      <c r="E26" s="3">
        <v>15</v>
      </c>
      <c r="F26" s="41">
        <v>0.21331635343843602</v>
      </c>
      <c r="G26" s="114"/>
      <c r="H26" s="50">
        <v>1.0135545069638157</v>
      </c>
      <c r="I26" s="50">
        <v>0.88493531683482529</v>
      </c>
      <c r="J26" s="50">
        <f t="shared" ref="J26:J39" si="67">$C$25/H26/I26</f>
        <v>27.87284962900689</v>
      </c>
      <c r="K26" s="114"/>
      <c r="L26" s="114"/>
      <c r="M26" s="114"/>
      <c r="N26" s="114"/>
      <c r="O26" s="114"/>
      <c r="P26" s="114"/>
      <c r="Q26" s="114"/>
      <c r="R26" s="114"/>
      <c r="S26" s="50">
        <f>K25*EXP(-L25*J26)+M25*EXP(-N25*J26)</f>
        <v>7250.8203382573265</v>
      </c>
      <c r="T26" s="50">
        <f t="shared" si="1"/>
        <v>0.75674615009855295</v>
      </c>
      <c r="U26" s="50">
        <f t="shared" ref="U26" si="68">G25*S26</f>
        <v>1890.8815670466176</v>
      </c>
    </row>
    <row r="27" spans="1:32" ht="14.95" thickBot="1" x14ac:dyDescent="0.3">
      <c r="A27" s="17" t="s">
        <v>23</v>
      </c>
      <c r="B27" s="17" t="s">
        <v>74</v>
      </c>
      <c r="C27" s="120"/>
      <c r="D27" s="124"/>
      <c r="E27" s="4">
        <v>30</v>
      </c>
      <c r="F27" s="41">
        <v>0.33834486910812911</v>
      </c>
      <c r="G27" s="115"/>
      <c r="H27" s="51">
        <v>1.0135545069638157</v>
      </c>
      <c r="I27" s="51">
        <v>0.89456095080827946</v>
      </c>
      <c r="J27" s="51">
        <f t="shared" si="67"/>
        <v>27.57293283956562</v>
      </c>
      <c r="K27" s="115"/>
      <c r="L27" s="115"/>
      <c r="M27" s="115"/>
      <c r="N27" s="115"/>
      <c r="O27" s="115"/>
      <c r="P27" s="115"/>
      <c r="Q27" s="115"/>
      <c r="R27" s="115"/>
      <c r="S27" s="51">
        <f>K25*EXP(-L25*J27)+M25*EXP(-N25*J27)</f>
        <v>7273.6759976259227</v>
      </c>
      <c r="T27" s="51">
        <f t="shared" si="1"/>
        <v>0.75901933143187361</v>
      </c>
      <c r="U27" s="51">
        <f t="shared" ref="U27" si="69">G25*S27</f>
        <v>1896.8419057375031</v>
      </c>
      <c r="Y27" s="19"/>
      <c r="Z27" s="20" t="s">
        <v>94</v>
      </c>
      <c r="AA27" s="21" t="s">
        <v>95</v>
      </c>
      <c r="AB27" s="21" t="s">
        <v>96</v>
      </c>
      <c r="AC27" s="21" t="s">
        <v>97</v>
      </c>
      <c r="AD27" s="21" t="s">
        <v>98</v>
      </c>
      <c r="AE27" s="21" t="s">
        <v>99</v>
      </c>
      <c r="AF27" s="21" t="s">
        <v>100</v>
      </c>
    </row>
    <row r="28" spans="1:32" ht="14.95" thickBot="1" x14ac:dyDescent="0.3">
      <c r="A28" s="17" t="s">
        <v>24</v>
      </c>
      <c r="B28" s="17" t="s">
        <v>76</v>
      </c>
      <c r="C28" s="120"/>
      <c r="D28" s="122">
        <v>2</v>
      </c>
      <c r="E28" s="2">
        <v>5</v>
      </c>
      <c r="F28" s="41">
        <v>0.35276347678746617</v>
      </c>
      <c r="G28" s="113">
        <v>0.2154125568679246</v>
      </c>
      <c r="H28" s="42">
        <v>1.0135545069638157</v>
      </c>
      <c r="I28" s="42">
        <v>0.89511255955916325</v>
      </c>
      <c r="J28" s="42">
        <f t="shared" si="67"/>
        <v>27.555941154129627</v>
      </c>
      <c r="K28" s="113">
        <f t="shared" ref="K28" si="70">$Z$29*(1+$AC$29*$AA$43)*EXP(-$AA$29*G28)+$AB$29*(1+$AE$29*$AA$43)-($AD$29*G28)</f>
        <v>10182.451054415347</v>
      </c>
      <c r="L28" s="113">
        <f t="shared" ref="L28" si="71">(($AD$30*$AA$43-$Z$30)*EXP(-($AA$30*G28)/(1+$AE$30*G28))+$AB$30)*(1+$AC$30*AA64)</f>
        <v>1.0133039643958456E-2</v>
      </c>
      <c r="M28" s="113">
        <f t="shared" ref="M28" si="72">$Z$31*(1+$AC$31*$AA$43)*EXP(-$AA$31*G28)+$AB$31-$AD$31*G28</f>
        <v>320631.85851745406</v>
      </c>
      <c r="N28" s="113">
        <f t="shared" ref="N28" si="73">$Z$32*EXP(-$AA$32*G28)+$AB$32-$AC$32*G28+$AD$32*$AA$43</f>
        <v>0.62588862533262923</v>
      </c>
      <c r="O28" s="113">
        <f t="shared" ref="O28" si="74">($Z$33-$AA$33/($AB$33*F28+$AA$43-0.13))*($AC$33-F28)*EXP(-$AD$33*F28)-$AE$33*$AA$43*F28+$AF$33</f>
        <v>1636.862818034449</v>
      </c>
      <c r="P28" s="113">
        <f t="shared" ref="P28" si="75">$Z$34*(AA64+$AA$34)+$AB$34*F28</f>
        <v>6.2473357830063504E-3</v>
      </c>
      <c r="Q28" s="113">
        <f t="shared" ref="Q28" si="76">($Z$35*(1-$AF$35*$AA$43)*EXP(-$AA$35*F28*(1-$AD$35*$AA$43))+$AB$35-$AE$35*F28)*(2+$AC$35*AA64)</f>
        <v>6680.3193227584215</v>
      </c>
      <c r="R28" s="113">
        <f t="shared" ref="R28" si="77">(($AD$36*$AA$43-$Z$36)*EXP((-$AA$36*F28)/(1+$AE$36*$AA$43+$AF$36*F28))+$AB$36)*(2+$AC$36*$AA$43)</f>
        <v>1.7288264128235462E-2</v>
      </c>
      <c r="S28" s="42">
        <f>K28*EXP(-L28*J28)+M28*EXP(-N28*J28)</f>
        <v>7701.7044070124475</v>
      </c>
      <c r="T28" s="42">
        <f t="shared" si="1"/>
        <v>0.75914832290261214</v>
      </c>
      <c r="U28" s="42">
        <f t="shared" ref="U28" si="78">G28*S28</f>
        <v>1659.0438385555144</v>
      </c>
      <c r="Y28" s="22" t="s">
        <v>82</v>
      </c>
      <c r="Z28" s="23" t="s">
        <v>101</v>
      </c>
      <c r="AA28" s="23"/>
      <c r="AB28" s="23"/>
      <c r="AC28" s="23"/>
      <c r="AD28" s="23"/>
      <c r="AE28" s="23"/>
      <c r="AF28" s="23"/>
    </row>
    <row r="29" spans="1:32" ht="14.95" thickBot="1" x14ac:dyDescent="0.3">
      <c r="A29" s="17" t="s">
        <v>25</v>
      </c>
      <c r="B29" s="17" t="s">
        <v>77</v>
      </c>
      <c r="C29" s="120"/>
      <c r="D29" s="123"/>
      <c r="E29" s="3">
        <v>15</v>
      </c>
      <c r="F29" s="41">
        <v>0.18511473800172099</v>
      </c>
      <c r="G29" s="114"/>
      <c r="H29" s="50">
        <v>1.0135545069638157</v>
      </c>
      <c r="I29" s="50">
        <v>0.88074963969593822</v>
      </c>
      <c r="J29" s="50">
        <f t="shared" si="67"/>
        <v>28.005312640320806</v>
      </c>
      <c r="K29" s="114"/>
      <c r="L29" s="114"/>
      <c r="M29" s="114"/>
      <c r="N29" s="114"/>
      <c r="O29" s="114"/>
      <c r="P29" s="114"/>
      <c r="Q29" s="114"/>
      <c r="R29" s="114"/>
      <c r="S29" s="50">
        <f>K28*EXP(-L28*J29)+M28*EXP(-N28*J29)</f>
        <v>7666.7119318308833</v>
      </c>
      <c r="T29" s="50">
        <f t="shared" si="1"/>
        <v>0.75574434125312551</v>
      </c>
      <c r="U29" s="50">
        <f t="shared" ref="U29" si="79">G28*S29</f>
        <v>1651.5060200055161</v>
      </c>
      <c r="Y29" s="21" t="s">
        <v>83</v>
      </c>
      <c r="Z29" s="23">
        <v>8735</v>
      </c>
      <c r="AA29" s="23">
        <v>22.689</v>
      </c>
      <c r="AB29" s="23">
        <v>11720</v>
      </c>
      <c r="AC29" s="23">
        <v>9.7800000000000005E-3</v>
      </c>
      <c r="AD29" s="23">
        <v>9306</v>
      </c>
      <c r="AE29" s="23">
        <v>3.6319999999999998E-3</v>
      </c>
      <c r="AF29" s="23"/>
    </row>
    <row r="30" spans="1:32" ht="14.95" thickBot="1" x14ac:dyDescent="0.3">
      <c r="A30" s="17" t="s">
        <v>26</v>
      </c>
      <c r="B30" s="17" t="s">
        <v>78</v>
      </c>
      <c r="C30" s="120"/>
      <c r="D30" s="124"/>
      <c r="E30" s="4">
        <v>30</v>
      </c>
      <c r="F30" s="41">
        <v>0.20556059545936306</v>
      </c>
      <c r="G30" s="115"/>
      <c r="H30" s="51">
        <v>1.0135545069638157</v>
      </c>
      <c r="I30" s="51">
        <v>0.88389081163647332</v>
      </c>
      <c r="J30" s="51">
        <f t="shared" si="67"/>
        <v>27.905787335731635</v>
      </c>
      <c r="K30" s="115"/>
      <c r="L30" s="115"/>
      <c r="M30" s="115"/>
      <c r="N30" s="115"/>
      <c r="O30" s="115"/>
      <c r="P30" s="115"/>
      <c r="Q30" s="115"/>
      <c r="R30" s="115"/>
      <c r="S30" s="51">
        <f>K28*EXP(-L28*J30)+M28*EXP(-N28*J30)</f>
        <v>7674.448158955629</v>
      </c>
      <c r="T30" s="51">
        <f t="shared" si="1"/>
        <v>0.75649691996599455</v>
      </c>
      <c r="U30" s="51">
        <f t="shared" ref="U30" si="80">G28*S30</f>
        <v>1653.1725004709688</v>
      </c>
      <c r="Y30" s="21" t="s">
        <v>84</v>
      </c>
      <c r="Z30" s="23">
        <v>2.7924999999999998E-2</v>
      </c>
      <c r="AA30" s="23">
        <v>6.6577000000000002</v>
      </c>
      <c r="AB30" s="23">
        <v>2.8544E-2</v>
      </c>
      <c r="AC30" s="23">
        <v>2.4550000000000002E-3</v>
      </c>
      <c r="AD30" s="23">
        <f>6.851*10^-5</f>
        <v>6.8510000000000006E-5</v>
      </c>
      <c r="AE30" s="23">
        <v>12.275499999999999</v>
      </c>
      <c r="AF30" s="23"/>
    </row>
    <row r="31" spans="1:32" ht="14.95" thickBot="1" x14ac:dyDescent="0.3">
      <c r="A31" s="17" t="s">
        <v>27</v>
      </c>
      <c r="B31" s="17" t="s">
        <v>79</v>
      </c>
      <c r="C31" s="120"/>
      <c r="D31" s="122">
        <v>3</v>
      </c>
      <c r="E31" s="2">
        <v>5</v>
      </c>
      <c r="F31" s="41">
        <v>0.33037933747730946</v>
      </c>
      <c r="G31" s="113">
        <v>0.24558213662173936</v>
      </c>
      <c r="H31" s="42">
        <v>1.0135545069638157</v>
      </c>
      <c r="I31" s="42">
        <v>0.8942231505051017</v>
      </c>
      <c r="J31" s="42">
        <f t="shared" si="67"/>
        <v>27.583348746453563</v>
      </c>
      <c r="K31" s="113">
        <f t="shared" ref="K31" si="81">$Z$29*(1+$AC$29*$AA$43)*EXP(-$AA$29*G31)+$AB$29*(1+$AE$29*$AA$43)-($AD$29*G31)</f>
        <v>9866.081613306902</v>
      </c>
      <c r="L31" s="113">
        <f t="shared" ref="L31" si="82">(($AD$30*$AA$43-$Z$30)*EXP(-($AA$30*G31)/(1+$AE$30*G31))+$AB$30)*(1+$AC$30*AA67)</f>
        <v>1.0384072999353271E-2</v>
      </c>
      <c r="M31" s="113">
        <f t="shared" ref="M31" si="83">$Z$31*(1+$AC$31*$AA$43)*EXP(-$AA$31*G31)+$AB$31-$AD$31*G31</f>
        <v>311987.46805980586</v>
      </c>
      <c r="N31" s="113">
        <f t="shared" ref="N31" si="84">$Z$32*EXP(-$AA$32*G31)+$AB$32-$AC$32*G31+$AD$32*$AA$43</f>
        <v>0.62322471802340629</v>
      </c>
      <c r="O31" s="113">
        <f t="shared" ref="O31" si="85">($Z$33-$AA$33/($AB$33*F31+$AA$43-0.13))*($AC$33-F31)*EXP(-$AD$33*F31)-$AE$33*$AA$43*F31+$AF$33</f>
        <v>1792.5648724786097</v>
      </c>
      <c r="P31" s="113">
        <f t="shared" ref="P31" si="86">$Z$34*(AA67+$AA$34)+$AB$34*F31</f>
        <v>6.2163874719961282E-3</v>
      </c>
      <c r="Q31" s="113">
        <f t="shared" ref="Q31" si="87">($Z$35*(1-$AF$35*$AA$43)*EXP(-$AA$35*F31*(1-$AD$35*$AA$43))+$AB$35-$AE$35*F31)*(2+$AC$35*AA67)</f>
        <v>6830.1772020613953</v>
      </c>
      <c r="R31" s="113">
        <f t="shared" ref="R31" si="88">(($AD$36*$AA$43-$Z$36)*EXP((-$AA$36*F31)/(1+$AE$36*$AA$43+$AF$36*F31))+$AB$36)*(2+$AC$36*$AA$43)</f>
        <v>1.7217524931557409E-2</v>
      </c>
      <c r="S31" s="42">
        <f t="shared" si="21"/>
        <v>7408.8609442578791</v>
      </c>
      <c r="T31" s="42">
        <f t="shared" si="1"/>
        <v>0.75894027052130342</v>
      </c>
      <c r="U31" s="42">
        <f t="shared" ref="U31" si="89">G31*S31</f>
        <v>1819.4839006242073</v>
      </c>
      <c r="Y31" s="21" t="s">
        <v>85</v>
      </c>
      <c r="Z31" s="23">
        <v>247970</v>
      </c>
      <c r="AA31" s="23">
        <v>23.289000000000001</v>
      </c>
      <c r="AB31" s="23">
        <v>374655</v>
      </c>
      <c r="AC31" s="23">
        <v>1.91E-3</v>
      </c>
      <c r="AD31" s="23">
        <v>258552</v>
      </c>
      <c r="AE31" s="23"/>
      <c r="AF31" s="23"/>
    </row>
    <row r="32" spans="1:32" ht="14.95" thickBot="1" x14ac:dyDescent="0.3">
      <c r="A32" s="17" t="s">
        <v>28</v>
      </c>
      <c r="B32" s="17" t="s">
        <v>80</v>
      </c>
      <c r="C32" s="120"/>
      <c r="D32" s="123"/>
      <c r="E32" s="3">
        <v>15</v>
      </c>
      <c r="F32" s="41">
        <v>0.21302215281580991</v>
      </c>
      <c r="G32" s="114"/>
      <c r="H32" s="50">
        <v>1.0135545069638157</v>
      </c>
      <c r="I32" s="50">
        <v>0.88489704761785859</v>
      </c>
      <c r="J32" s="50">
        <f t="shared" si="67"/>
        <v>27.874055048476649</v>
      </c>
      <c r="K32" s="114"/>
      <c r="L32" s="114"/>
      <c r="M32" s="114"/>
      <c r="N32" s="114"/>
      <c r="O32" s="114"/>
      <c r="P32" s="114"/>
      <c r="Q32" s="114"/>
      <c r="R32" s="114"/>
      <c r="S32" s="50">
        <f>K31*EXP(-L31*J32)+M31*EXP(-N31*J32)</f>
        <v>7386.5276876917724</v>
      </c>
      <c r="T32" s="50">
        <f t="shared" si="1"/>
        <v>0.75673702758369699</v>
      </c>
      <c r="U32" s="50">
        <f t="shared" ref="U32" si="90">G31*S32</f>
        <v>1813.9992517589815</v>
      </c>
      <c r="Y32" s="21" t="s">
        <v>86</v>
      </c>
      <c r="Z32" s="23">
        <v>5.4817999999999999E-2</v>
      </c>
      <c r="AA32" s="23">
        <v>21.032</v>
      </c>
      <c r="AB32" s="23">
        <v>0.63729999999999998</v>
      </c>
      <c r="AC32" s="23">
        <v>7.9100000000000004E-2</v>
      </c>
      <c r="AD32" s="23">
        <f>5.425*10^-4</f>
        <v>5.4250000000000001E-4</v>
      </c>
      <c r="AE32" s="23"/>
      <c r="AF32" s="23"/>
    </row>
    <row r="33" spans="1:32" ht="14.95" thickBot="1" x14ac:dyDescent="0.3">
      <c r="A33" s="17" t="s">
        <v>29</v>
      </c>
      <c r="B33" s="17">
        <v>1</v>
      </c>
      <c r="C33" s="120"/>
      <c r="D33" s="124"/>
      <c r="E33" s="4">
        <v>30</v>
      </c>
      <c r="F33" s="41">
        <v>0.24231694716988861</v>
      </c>
      <c r="G33" s="115"/>
      <c r="H33" s="51">
        <v>1.0135545069638157</v>
      </c>
      <c r="I33" s="51">
        <v>0.88823956202879639</v>
      </c>
      <c r="J33" s="51">
        <f t="shared" si="67"/>
        <v>27.769162815937488</v>
      </c>
      <c r="K33" s="115"/>
      <c r="L33" s="115"/>
      <c r="M33" s="115"/>
      <c r="N33" s="115"/>
      <c r="O33" s="115"/>
      <c r="P33" s="115"/>
      <c r="Q33" s="115"/>
      <c r="R33" s="115"/>
      <c r="S33" s="51">
        <f>K31*EXP(-L31*J33)+M31*EXP(-N31*J33)</f>
        <v>7394.578132272708</v>
      </c>
      <c r="T33" s="51">
        <f t="shared" si="1"/>
        <v>0.7575312567513236</v>
      </c>
      <c r="U33" s="51">
        <f t="shared" ref="U33" si="91">G31*S33</f>
        <v>1815.9762971399225</v>
      </c>
      <c r="Y33" s="21" t="s">
        <v>87</v>
      </c>
      <c r="Z33" s="23">
        <v>39006</v>
      </c>
      <c r="AA33" s="23">
        <v>15002330</v>
      </c>
      <c r="AB33" s="23">
        <v>2009.24</v>
      </c>
      <c r="AC33" s="23">
        <v>1.1809999999999999E-2</v>
      </c>
      <c r="AD33" s="23">
        <v>3.1459999999999999</v>
      </c>
      <c r="AE33" s="23">
        <v>16.741700000000002</v>
      </c>
      <c r="AF33" s="23">
        <v>3727</v>
      </c>
    </row>
    <row r="34" spans="1:32" ht="14.95" thickBot="1" x14ac:dyDescent="0.3">
      <c r="A34" s="17" t="s">
        <v>30</v>
      </c>
      <c r="B34" s="17">
        <v>2</v>
      </c>
      <c r="C34" s="120"/>
      <c r="D34" s="122">
        <v>4</v>
      </c>
      <c r="E34" s="2">
        <v>5</v>
      </c>
      <c r="F34" s="41">
        <v>0.28654056559443725</v>
      </c>
      <c r="G34" s="113">
        <v>0.22721070166131185</v>
      </c>
      <c r="H34" s="42">
        <v>1.0135545069638157</v>
      </c>
      <c r="I34" s="42">
        <v>0.89184504191476333</v>
      </c>
      <c r="J34" s="42">
        <f t="shared" si="67"/>
        <v>27.656899862983188</v>
      </c>
      <c r="K34" s="113">
        <f t="shared" ref="K34" si="92">$Z$29*(1+$AC$29*$AA$43)*EXP(-$AA$29*G34)+$AB$29*(1+$AE$29*$AA$43)-($AD$29*G34)</f>
        <v>10055.784380806435</v>
      </c>
      <c r="L34" s="113">
        <f t="shared" ref="L34" si="93">(($AD$30*$AA$43-$Z$30)*EXP(-($AA$30*G34)/(1+$AE$30*G34))+$AB$30)*(1+$AC$30*AA70)</f>
        <v>1.0237470080084604E-2</v>
      </c>
      <c r="M34" s="113">
        <f t="shared" ref="M34" si="94">$Z$31*(1+$AC$31*$AA$43)*EXP(-$AA$31*G34)+$AB$31-$AD$31*G34</f>
        <v>317179.67565527122</v>
      </c>
      <c r="N34" s="113">
        <f t="shared" ref="N34" si="95">$Z$32*EXP(-$AA$32*G34)+$AB$32-$AC$32*G34+$AD$32*$AA$43</f>
        <v>0.62482559867077936</v>
      </c>
      <c r="O34" s="113">
        <f t="shared" ref="O34" si="96">($Z$33-$AA$33/($AB$33*F34+$AA$43-0.13))*($AC$33-F34)*EXP(-$AD$33*F34)-$AE$33*$AA$43*F34+$AF$33</f>
        <v>2192.8147342705342</v>
      </c>
      <c r="P34" s="113">
        <f t="shared" ref="P34" si="97">$Z$34*(AA70+$AA$34)+$AB$34*F34</f>
        <v>6.1557759859908693E-3</v>
      </c>
      <c r="Q34" s="113">
        <f t="shared" ref="Q34" si="98">($Z$35*(1-$AF$35*$AA$43)*EXP(-$AA$35*F34*(1-$AD$35*$AA$43))+$AB$35-$AE$35*F34)*(2+$AC$35*AA70)</f>
        <v>7123.6759299371533</v>
      </c>
      <c r="R34" s="113">
        <f t="shared" ref="R34" si="99">(($AD$36*$AA$43-$Z$36)*EXP((-$AA$36*F34)/(1+$AE$36*$AA$43+$AF$36*F34))+$AB$36)*(2+$AC$36*$AA$43)</f>
        <v>1.7050809730667495E-2</v>
      </c>
      <c r="S34" s="42">
        <f>K34*EXP(-L34*J34)+M34*EXP(-N34*J34)</f>
        <v>7576.2068081339421</v>
      </c>
      <c r="T34" s="42">
        <f t="shared" si="1"/>
        <v>0.75838222351898266</v>
      </c>
      <c r="U34" s="42">
        <f t="shared" ref="U34" si="100">G34*S34</f>
        <v>1721.3952648073209</v>
      </c>
      <c r="Y34" s="21" t="s">
        <v>88</v>
      </c>
      <c r="Z34" s="23">
        <f>6.031*10^-5</f>
        <v>6.0310000000000004E-5</v>
      </c>
      <c r="AA34" s="23">
        <v>95.5</v>
      </c>
      <c r="AB34" s="23">
        <v>1.3826000000000001E-3</v>
      </c>
      <c r="AC34" s="23"/>
      <c r="AD34" s="23"/>
      <c r="AE34" s="23"/>
      <c r="AF34" s="23"/>
    </row>
    <row r="35" spans="1:32" ht="14.95" thickBot="1" x14ac:dyDescent="0.3">
      <c r="A35" s="17" t="s">
        <v>31</v>
      </c>
      <c r="B35" s="17">
        <v>3</v>
      </c>
      <c r="C35" s="120"/>
      <c r="D35" s="123"/>
      <c r="E35" s="3">
        <v>15</v>
      </c>
      <c r="F35" s="41">
        <v>0.23312158930196816</v>
      </c>
      <c r="G35" s="114"/>
      <c r="H35" s="50">
        <v>1.0135545069638157</v>
      </c>
      <c r="I35" s="50">
        <v>0.88728614590972332</v>
      </c>
      <c r="J35" s="50">
        <f t="shared" si="67"/>
        <v>27.799001631255329</v>
      </c>
      <c r="K35" s="114"/>
      <c r="L35" s="114"/>
      <c r="M35" s="114"/>
      <c r="N35" s="114"/>
      <c r="O35" s="114"/>
      <c r="P35" s="114"/>
      <c r="Q35" s="114"/>
      <c r="R35" s="114"/>
      <c r="S35" s="50">
        <f>K34*EXP(-L34*J35)+M34*EXP(-N34*J35)</f>
        <v>7565.1924106834231</v>
      </c>
      <c r="T35" s="50">
        <f t="shared" si="1"/>
        <v>0.75730523630008639</v>
      </c>
      <c r="U35" s="50">
        <f t="shared" ref="U35" si="101">G34*S35</f>
        <v>1718.8926758342118</v>
      </c>
      <c r="Y35" s="21" t="s">
        <v>89</v>
      </c>
      <c r="Z35" s="23">
        <v>11747</v>
      </c>
      <c r="AA35" s="23">
        <v>55.033000000000001</v>
      </c>
      <c r="AB35" s="23">
        <v>4521</v>
      </c>
      <c r="AC35" s="23">
        <v>1.9980000000000001E-2</v>
      </c>
      <c r="AD35" s="23">
        <v>6.0400000000000002E-3</v>
      </c>
      <c r="AE35" s="23">
        <v>3347.4</v>
      </c>
      <c r="AF35" s="23">
        <v>4.7499999999999999E-3</v>
      </c>
    </row>
    <row r="36" spans="1:32" ht="14.95" thickBot="1" x14ac:dyDescent="0.3">
      <c r="A36" s="17" t="s">
        <v>32</v>
      </c>
      <c r="B36" s="17">
        <v>4</v>
      </c>
      <c r="C36" s="120"/>
      <c r="D36" s="124"/>
      <c r="E36" s="4">
        <v>30</v>
      </c>
      <c r="F36" s="41">
        <v>0.19455725248052119</v>
      </c>
      <c r="G36" s="115"/>
      <c r="H36" s="51">
        <v>1.0135545069638157</v>
      </c>
      <c r="I36" s="51">
        <v>0.88227427677095005</v>
      </c>
      <c r="J36" s="51">
        <f t="shared" si="67"/>
        <v>27.956917329392098</v>
      </c>
      <c r="K36" s="115"/>
      <c r="L36" s="115"/>
      <c r="M36" s="115"/>
      <c r="N36" s="115"/>
      <c r="O36" s="115"/>
      <c r="P36" s="115"/>
      <c r="Q36" s="115"/>
      <c r="R36" s="115"/>
      <c r="S36" s="51">
        <f>K34*EXP(-L34*J36)+M34*EXP(-N34*J36)</f>
        <v>7552.9711304841658</v>
      </c>
      <c r="T36" s="51">
        <f t="shared" si="1"/>
        <v>0.75611019728592854</v>
      </c>
      <c r="U36" s="51">
        <f t="shared" ref="U36" si="102">G34*S36</f>
        <v>1716.115870184939</v>
      </c>
      <c r="Y36" s="21" t="s">
        <v>90</v>
      </c>
      <c r="Z36" s="23">
        <v>1.5429999999999999E-2</v>
      </c>
      <c r="AA36" s="23">
        <v>13.29</v>
      </c>
      <c r="AB36" s="23">
        <v>1.8069999999999999E-2</v>
      </c>
      <c r="AC36" s="23">
        <v>1.1000000000000001E-3</v>
      </c>
      <c r="AD36" s="23">
        <f>8.81*10^-5</f>
        <v>8.8100000000000014E-5</v>
      </c>
      <c r="AE36" s="23">
        <v>4.0500000000000001E-2</v>
      </c>
      <c r="AF36" s="23">
        <v>26.74</v>
      </c>
    </row>
    <row r="37" spans="1:32" ht="14.95" thickBot="1" x14ac:dyDescent="0.3">
      <c r="A37" s="17" t="s">
        <v>33</v>
      </c>
      <c r="B37" s="17">
        <v>5</v>
      </c>
      <c r="C37" s="120"/>
      <c r="D37" s="122">
        <v>5</v>
      </c>
      <c r="E37" s="2">
        <v>5</v>
      </c>
      <c r="F37" s="41">
        <v>0.19473946005233059</v>
      </c>
      <c r="G37" s="113">
        <v>0.19624949362673233</v>
      </c>
      <c r="H37" s="42">
        <v>1.0135545069638157</v>
      </c>
      <c r="I37" s="42">
        <v>0.88230240710679209</v>
      </c>
      <c r="J37" s="42">
        <f t="shared" si="67"/>
        <v>27.956025982539536</v>
      </c>
      <c r="K37" s="113">
        <f t="shared" ref="K37" si="103">$Z$29*(1+$AC$29*$AA$43)*EXP(-$AA$29*G37)+$AB$29*(1+$AE$29*$AA$43)-($AD$29*G37)</f>
        <v>10399.91235352357</v>
      </c>
      <c r="L37" s="113">
        <f t="shared" ref="L37" si="104">(($AD$30*$AA$43-$Z$30)*EXP(-($AA$30*G37)/(1+$AE$30*G37))+$AB$30)*(1+$AC$30*AA73)</f>
        <v>9.9429979112426355E-3</v>
      </c>
      <c r="M37" s="113">
        <f t="shared" ref="M37" si="105">$Z$31*(1+$AC$31*$AA$43)*EXP(-$AA$31*G37)+$AB$31-$AD$31*G37</f>
        <v>326527.12653467577</v>
      </c>
      <c r="N37" s="113">
        <f t="shared" ref="N37" si="106">$Z$32*EXP(-$AA$32*G37)+$AB$32-$AC$32*G37+$AD$32*$AA$43</f>
        <v>0.62769759853888152</v>
      </c>
      <c r="O37" s="113">
        <f t="shared" ref="O37" si="107">($Z$33-$AA$33/($AB$33*F37+$AA$43-0.13))*($AC$33-F37)*EXP(-$AD$33*F37)-$AE$33*$AA$43*F37+$AF$33</f>
        <v>3543.9900443466004</v>
      </c>
      <c r="P37" s="113">
        <f t="shared" ref="P37" si="108">$Z$34*(AA73+$AA$34)+$AB$34*F37</f>
        <v>6.0288517774683527E-3</v>
      </c>
      <c r="Q37" s="113">
        <f t="shared" ref="Q37" si="109">($Z$35*(1-$AF$35*$AA$43)*EXP(-$AA$35*F37*(1-$AD$35*$AA$43))+$AB$35-$AE$35*F37)*(2+$AC$35*AA73)</f>
        <v>7739.1661161515203</v>
      </c>
      <c r="R37" s="113">
        <f t="shared" ref="R37" si="110">(($AD$36*$AA$43-$Z$36)*EXP((-$AA$36*F37)/(1+$AE$36*$AA$43+$AF$36*F37))+$AB$36)*(2+$AC$36*$AA$43)</f>
        <v>1.6499260190610196E-2</v>
      </c>
      <c r="S37" s="42">
        <f>K37*EXP(-L37*J37)+M37*EXP(-N37*J37)</f>
        <v>7876.0905912968447</v>
      </c>
      <c r="T37" s="42">
        <f t="shared" si="1"/>
        <v>0.75611693730474339</v>
      </c>
      <c r="U37" s="42">
        <f t="shared" ref="U37" si="111">G37*S37</f>
        <v>1545.6787903002767</v>
      </c>
      <c r="Y37" s="21" t="s">
        <v>91</v>
      </c>
      <c r="Z37" s="23">
        <v>0.49220000000000003</v>
      </c>
      <c r="AA37" s="23">
        <v>0.86</v>
      </c>
      <c r="AB37" s="23"/>
      <c r="AC37" s="23"/>
      <c r="AD37" s="23"/>
      <c r="AE37" s="23"/>
      <c r="AF37" s="23"/>
    </row>
    <row r="38" spans="1:32" ht="14.95" thickBot="1" x14ac:dyDescent="0.3">
      <c r="A38" s="17" t="s">
        <v>34</v>
      </c>
      <c r="B38" s="17">
        <v>6</v>
      </c>
      <c r="C38" s="120"/>
      <c r="D38" s="123"/>
      <c r="E38" s="3">
        <v>15</v>
      </c>
      <c r="F38" s="41">
        <v>0.18945204168933263</v>
      </c>
      <c r="G38" s="114"/>
      <c r="H38" s="50">
        <v>1.0135545069638157</v>
      </c>
      <c r="I38" s="50">
        <v>0.88146651583098123</v>
      </c>
      <c r="J38" s="50">
        <f t="shared" si="67"/>
        <v>27.982536573475727</v>
      </c>
      <c r="K38" s="114"/>
      <c r="L38" s="114"/>
      <c r="M38" s="114"/>
      <c r="N38" s="114"/>
      <c r="O38" s="114"/>
      <c r="P38" s="114"/>
      <c r="Q38" s="114"/>
      <c r="R38" s="114"/>
      <c r="S38" s="50">
        <f>K37*EXP(-L37*J38)+M37*EXP(-N37*J38)</f>
        <v>7874.0146418471313</v>
      </c>
      <c r="T38" s="50">
        <f t="shared" si="1"/>
        <v>0.75591650028616131</v>
      </c>
      <c r="U38" s="50">
        <f t="shared" ref="U38" si="112">G37*S38</f>
        <v>1545.2713862719756</v>
      </c>
      <c r="Y38" s="21" t="s">
        <v>92</v>
      </c>
      <c r="Z38" s="23">
        <v>0.17</v>
      </c>
      <c r="AA38" s="23">
        <v>0.41</v>
      </c>
      <c r="AB38" s="23">
        <v>9.25</v>
      </c>
      <c r="AC38" s="23"/>
      <c r="AD38" s="23"/>
      <c r="AE38" s="23"/>
      <c r="AF38" s="23"/>
    </row>
    <row r="39" spans="1:32" ht="14.95" thickBot="1" x14ac:dyDescent="0.3">
      <c r="A39" s="17" t="s">
        <v>35</v>
      </c>
      <c r="B39" s="17">
        <v>7</v>
      </c>
      <c r="C39" s="121"/>
      <c r="D39" s="124"/>
      <c r="E39" s="4">
        <v>30</v>
      </c>
      <c r="F39" s="41">
        <v>0.20575698492847549</v>
      </c>
      <c r="G39" s="115"/>
      <c r="H39" s="51">
        <v>1.0135545069638157</v>
      </c>
      <c r="I39" s="51">
        <v>0.88391819553785522</v>
      </c>
      <c r="J39" s="51">
        <f t="shared" si="67"/>
        <v>27.904922810787763</v>
      </c>
      <c r="K39" s="115"/>
      <c r="L39" s="115"/>
      <c r="M39" s="115"/>
      <c r="N39" s="115"/>
      <c r="O39" s="115"/>
      <c r="P39" s="115"/>
      <c r="Q39" s="115"/>
      <c r="R39" s="115"/>
      <c r="S39" s="51">
        <f>K37*EXP(-L37*J39)+M37*EXP(-N37*J39)</f>
        <v>7880.093848148922</v>
      </c>
      <c r="T39" s="51">
        <f t="shared" si="1"/>
        <v>0.75650346052376283</v>
      </c>
      <c r="U39" s="51">
        <f t="shared" ref="U39" si="113">G37*S39</f>
        <v>1546.4644274303546</v>
      </c>
      <c r="Y39" s="21" t="s">
        <v>93</v>
      </c>
      <c r="Z39" s="23">
        <v>8.3209999999999997</v>
      </c>
      <c r="AA39" s="23">
        <v>0.14249000000000001</v>
      </c>
      <c r="AB39" s="23">
        <v>0.96655000000000002</v>
      </c>
      <c r="AC39" s="23">
        <v>0.01</v>
      </c>
      <c r="AD39" s="23">
        <v>20</v>
      </c>
      <c r="AE39" s="23">
        <v>4.2900000000000001E-2</v>
      </c>
      <c r="AF39" s="23"/>
    </row>
    <row r="40" spans="1:32" ht="14.95" thickBot="1" x14ac:dyDescent="0.3">
      <c r="A40" s="17" t="s">
        <v>36</v>
      </c>
      <c r="B40" s="17">
        <v>8</v>
      </c>
      <c r="C40" s="119">
        <v>52</v>
      </c>
      <c r="D40" s="122">
        <v>1</v>
      </c>
      <c r="E40" s="2">
        <v>5</v>
      </c>
      <c r="F40" s="41">
        <v>0.28986845823274848</v>
      </c>
      <c r="G40" s="113">
        <v>0.25757812056686447</v>
      </c>
      <c r="H40" s="42">
        <v>1.0135545069638157</v>
      </c>
      <c r="I40" s="42">
        <v>0.89206129328576134</v>
      </c>
      <c r="J40" s="42">
        <f>$C$40/H40/I40</f>
        <v>57.512406314032575</v>
      </c>
      <c r="K40" s="113">
        <f t="shared" ref="K40" si="114">$Z$29*(1+$AC$29*$AA$43)*EXP(-$AA$29*G40)+$AB$29*(1+$AE$29*$AA$43)-($AD$29*G40)</f>
        <v>9745.813129215514</v>
      </c>
      <c r="L40" s="113">
        <f t="shared" ref="L40" si="115">(($AD$30*$AA$43-$Z$30)*EXP(-($AA$30*G40)/(1+$AE$30*G40))+$AB$30)*(1+$AC$30*AA76)</f>
        <v>1.0470669034727976E-2</v>
      </c>
      <c r="M40" s="113">
        <f t="shared" ref="M40" si="116">$Z$31*(1+$AC$31*$AA$43)*EXP(-$AA$31*G40)+$AB$31-$AD$31*G40</f>
        <v>308684.00914751011</v>
      </c>
      <c r="N40" s="113">
        <f t="shared" ref="N40" si="117">$Z$32*EXP(-$AA$32*G40)+$AB$32-$AC$32*G40+$AD$32*$AA$43</f>
        <v>0.62220600642487323</v>
      </c>
      <c r="O40" s="113">
        <f t="shared" ref="O40" si="118">($Z$33-$AA$33/($AB$33*F40+$AA$43-0.13))*($AC$33-F40)*EXP(-$AD$33*F40)-$AE$33*$AA$43*F40+$AF$33</f>
        <v>2157.5680473358616</v>
      </c>
      <c r="P40" s="113">
        <f t="shared" ref="P40" si="119">$Z$34*(AA76+$AA$34)+$AB$34*F40</f>
        <v>6.1603771303525984E-3</v>
      </c>
      <c r="Q40" s="113">
        <f t="shared" ref="Q40" si="120">($Z$35*(1-$AF$35*$AA$43)*EXP(-$AA$35*F40*(1-$AD$35*$AA$43))+$AB$35-$AE$35*F40)*(2+$AC$35*AA76)</f>
        <v>7101.3951305387018</v>
      </c>
      <c r="R40" s="113">
        <f t="shared" ref="R40" si="121">(($AD$36*$AA$43-$Z$36)*EXP((-$AA$36*F40)/(1+$AE$36*$AA$43+$AF$36*F40))+$AB$36)*(2+$AC$36*$AA$43)</f>
        <v>1.7065023824956185E-2</v>
      </c>
      <c r="S40" s="42">
        <f>O40*EXP(-P40*J40)+Q40*EXP(-R40*J40)</f>
        <v>4175.2606945052703</v>
      </c>
      <c r="T40" s="42">
        <f t="shared" si="1"/>
        <v>0.56263506220416493</v>
      </c>
      <c r="U40" s="42">
        <f t="shared" ref="U40" si="122">G40*S40</f>
        <v>1075.4558025673687</v>
      </c>
    </row>
    <row r="41" spans="1:32" ht="14.95" thickBot="1" x14ac:dyDescent="0.3">
      <c r="A41" s="17" t="s">
        <v>39</v>
      </c>
      <c r="B41" s="17">
        <v>9</v>
      </c>
      <c r="C41" s="120"/>
      <c r="D41" s="123"/>
      <c r="E41" s="3">
        <v>15</v>
      </c>
      <c r="F41" s="41">
        <v>0.27118416483457503</v>
      </c>
      <c r="G41" s="114"/>
      <c r="H41" s="50">
        <v>1.0135545069638157</v>
      </c>
      <c r="I41" s="50">
        <v>0.89075622111946284</v>
      </c>
      <c r="J41" s="50">
        <f t="shared" ref="J41:J48" si="123">$C$40/H41/I41</f>
        <v>57.596669369308195</v>
      </c>
      <c r="K41" s="114"/>
      <c r="L41" s="114"/>
      <c r="M41" s="114"/>
      <c r="N41" s="114"/>
      <c r="O41" s="114"/>
      <c r="P41" s="114"/>
      <c r="Q41" s="114"/>
      <c r="R41" s="114"/>
      <c r="S41" s="50">
        <f>O40*EXP(-P40*J41)+Q40*EXP(-R40*J41)</f>
        <v>4170.6508808077979</v>
      </c>
      <c r="T41" s="50">
        <f t="shared" si="1"/>
        <v>0.56216116839743946</v>
      </c>
      <c r="U41" s="50">
        <f t="shared" ref="U41" si="124">G40*S41</f>
        <v>1074.2684154190104</v>
      </c>
    </row>
    <row r="42" spans="1:32" ht="18.350000000000001" thickBot="1" x14ac:dyDescent="0.4">
      <c r="A42" s="17" t="s">
        <v>40</v>
      </c>
      <c r="B42" s="17">
        <v>10</v>
      </c>
      <c r="C42" s="120"/>
      <c r="D42" s="124"/>
      <c r="E42" s="4">
        <v>30</v>
      </c>
      <c r="F42" s="41">
        <v>0.23610066116000467</v>
      </c>
      <c r="G42" s="115"/>
      <c r="H42" s="51">
        <v>1.0135545069638157</v>
      </c>
      <c r="I42" s="51">
        <v>0.88760395313909268</v>
      </c>
      <c r="J42" s="51">
        <f t="shared" si="123"/>
        <v>57.801220212042423</v>
      </c>
      <c r="K42" s="115"/>
      <c r="L42" s="115"/>
      <c r="M42" s="115"/>
      <c r="N42" s="115"/>
      <c r="O42" s="115"/>
      <c r="P42" s="115"/>
      <c r="Q42" s="115"/>
      <c r="R42" s="115"/>
      <c r="S42" s="51">
        <f>O40*EXP(-P40*J42)+Q40*EXP(-R40*J42)</f>
        <v>4159.4849740797508</v>
      </c>
      <c r="T42" s="51">
        <f t="shared" si="1"/>
        <v>0.56101243825908031</v>
      </c>
      <c r="U42" s="51">
        <f t="shared" ref="U42" si="125">G40*S42</f>
        <v>1071.3923221495752</v>
      </c>
      <c r="Y42" s="24" t="s">
        <v>112</v>
      </c>
      <c r="AA42" t="s">
        <v>176</v>
      </c>
    </row>
    <row r="43" spans="1:32" ht="14.95" thickBot="1" x14ac:dyDescent="0.3">
      <c r="A43" s="17" t="s">
        <v>41</v>
      </c>
      <c r="B43" s="17">
        <v>11</v>
      </c>
      <c r="C43" s="120"/>
      <c r="D43" s="122">
        <v>2</v>
      </c>
      <c r="E43" s="2">
        <v>5</v>
      </c>
      <c r="F43" s="41">
        <v>0.25131119513008954</v>
      </c>
      <c r="G43" s="113">
        <v>0.25378510817875921</v>
      </c>
      <c r="H43" s="42">
        <v>1.0135545069638157</v>
      </c>
      <c r="I43" s="42">
        <v>0.88909687064235843</v>
      </c>
      <c r="J43" s="42">
        <f t="shared" si="123"/>
        <v>57.704163911189255</v>
      </c>
      <c r="K43" s="113">
        <f t="shared" ref="K43" si="126">$Z$29*(1+$AC$29*$AA$43)*EXP(-$AA$29*G43)+$AB$29*(1+$AE$29*$AA$43)-($AD$29*G43)</f>
        <v>9783.591365381877</v>
      </c>
      <c r="L43" s="113">
        <f t="shared" ref="L43" si="127">(($AD$30*$AA$43-$Z$30)*EXP(-($AA$30*G43)/(1+$AE$30*G43))+$AB$30)*(1+$AC$30*AA79)</f>
        <v>1.0444002315224257E-2</v>
      </c>
      <c r="M43" s="113">
        <f t="shared" ref="M43" si="128">$Z$31*(1+$AC$31*$AA$43)*EXP(-$AA$31*G43)+$AB$31-$AD$31*G43</f>
        <v>309722.54609014845</v>
      </c>
      <c r="N43" s="113">
        <f t="shared" ref="N43" si="129">$Z$32*EXP(-$AA$32*G43)+$AB$32-$AC$32*G43+$AD$32*$AA$43</f>
        <v>0.62252623998911616</v>
      </c>
      <c r="O43" s="113">
        <f t="shared" ref="O43" si="130">($Z$33-$AA$33/($AB$33*F43+$AA$43-0.13))*($AC$33-F43)*EXP(-$AD$33*F43)-$AE$33*$AA$43*F43+$AF$33</f>
        <v>2620.7428379242165</v>
      </c>
      <c r="P43" s="113">
        <f t="shared" ref="P43" si="131">$Z$34*(AA79+$AA$34)+$AB$34*F43</f>
        <v>6.1070678583868623E-3</v>
      </c>
      <c r="Q43" s="113">
        <f t="shared" ref="Q43" si="132">($Z$35*(1-$AF$35*$AA$43)*EXP(-$AA$35*F43*(1-$AD$35*$AA$43))+$AB$35-$AE$35*F43)*(2+$AC$35*AA79)</f>
        <v>7359.569866959886</v>
      </c>
      <c r="R43" s="113">
        <f t="shared" ref="R43" si="133">(($AD$36*$AA$43-$Z$36)*EXP((-$AA$36*F43)/(1+$AE$36*$AA$43+$AF$36*F43))+$AB$36)*(2+$AC$36*$AA$43)</f>
        <v>1.6880363981243752E-2</v>
      </c>
      <c r="S43" s="42">
        <f>O43*EXP(-P43*J43)+Q43*EXP(-R43*J43)</f>
        <v>4620.9371308828022</v>
      </c>
      <c r="T43" s="42">
        <f t="shared" si="1"/>
        <v>0.56155720049925706</v>
      </c>
      <c r="U43" s="42">
        <f t="shared" ref="U43" si="134">G43*S43</f>
        <v>1172.7250296483371</v>
      </c>
      <c r="Y43">
        <f>18/9.81</f>
        <v>1.8348623853211008</v>
      </c>
      <c r="AA43">
        <v>9.2850000000000001</v>
      </c>
    </row>
    <row r="44" spans="1:32" ht="14.95" thickBot="1" x14ac:dyDescent="0.3">
      <c r="A44" s="17" t="s">
        <v>37</v>
      </c>
      <c r="B44" s="17">
        <v>12</v>
      </c>
      <c r="C44" s="120"/>
      <c r="D44" s="123"/>
      <c r="E44" s="3">
        <v>15</v>
      </c>
      <c r="F44" s="41">
        <v>0.25598939366725382</v>
      </c>
      <c r="G44" s="114"/>
      <c r="H44" s="50">
        <v>1.0135545069638157</v>
      </c>
      <c r="I44" s="50">
        <v>0.88951537210442044</v>
      </c>
      <c r="J44" s="50">
        <f t="shared" si="123"/>
        <v>57.67701510890744</v>
      </c>
      <c r="K44" s="114"/>
      <c r="L44" s="114"/>
      <c r="M44" s="114"/>
      <c r="N44" s="114"/>
      <c r="O44" s="114"/>
      <c r="P44" s="114"/>
      <c r="Q44" s="114"/>
      <c r="R44" s="114"/>
      <c r="S44" s="50">
        <f>O43*EXP(-P43*J44)+Q43*EXP(-R43*J44)</f>
        <v>4622.5162776134102</v>
      </c>
      <c r="T44" s="50">
        <f t="shared" si="1"/>
        <v>0.56170967725018928</v>
      </c>
      <c r="U44" s="50">
        <f t="shared" ref="U44" si="135">G43*S44</f>
        <v>1173.1257935721947</v>
      </c>
    </row>
    <row r="45" spans="1:32" ht="14.95" thickBot="1" x14ac:dyDescent="0.3">
      <c r="A45" s="17" t="s">
        <v>38</v>
      </c>
      <c r="B45" s="17">
        <v>13</v>
      </c>
      <c r="C45" s="120"/>
      <c r="D45" s="124"/>
      <c r="E45" s="4">
        <v>30</v>
      </c>
      <c r="F45" s="41">
        <v>0.25423615328009291</v>
      </c>
      <c r="G45" s="115"/>
      <c r="H45" s="51">
        <v>1.0135545069638157</v>
      </c>
      <c r="I45" s="51">
        <v>0.88936064885935195</v>
      </c>
      <c r="J45" s="51">
        <f t="shared" si="123"/>
        <v>57.687049255296714</v>
      </c>
      <c r="K45" s="115"/>
      <c r="L45" s="115"/>
      <c r="M45" s="115"/>
      <c r="N45" s="115"/>
      <c r="O45" s="115"/>
      <c r="P45" s="115"/>
      <c r="Q45" s="115"/>
      <c r="R45" s="115"/>
      <c r="S45" s="51">
        <f>O43*EXP(-P43*J45)+Q43*EXP(-R43*J45)</f>
        <v>4621.9325540434729</v>
      </c>
      <c r="T45" s="51">
        <f t="shared" si="1"/>
        <v>0.56165331730655799</v>
      </c>
      <c r="U45" s="51">
        <f t="shared" ref="U45" si="136">G43*S45</f>
        <v>1172.9776532228516</v>
      </c>
    </row>
    <row r="46" spans="1:32" ht="14.95" thickBot="1" x14ac:dyDescent="0.3">
      <c r="A46" s="17" t="s">
        <v>42</v>
      </c>
      <c r="B46" s="17">
        <v>14</v>
      </c>
      <c r="C46" s="120"/>
      <c r="D46" s="122">
        <v>3</v>
      </c>
      <c r="E46" s="2">
        <v>5</v>
      </c>
      <c r="F46" s="41">
        <v>0.39287243653721549</v>
      </c>
      <c r="G46" s="113">
        <v>0.3181880574534261</v>
      </c>
      <c r="H46" s="42">
        <v>1.0135545069638157</v>
      </c>
      <c r="I46" s="42">
        <v>0.89631092867593054</v>
      </c>
      <c r="J46" s="42">
        <f t="shared" si="123"/>
        <v>57.239725540624008</v>
      </c>
      <c r="K46" s="113">
        <f t="shared" ref="K46" si="137">$Z$29*(1+$AC$29*$AA$43)*EXP(-$AA$29*G46)+$AB$29*(1+$AE$29*$AA$43)-($AD$29*G46)</f>
        <v>9161.1540671859966</v>
      </c>
      <c r="L46" s="113">
        <f t="shared" ref="L46" si="138">(($AD$30*$AA$43-$Z$30)*EXP(-($AA$30*G46)/(1+$AE$30*G46))+$AB$30)*(1+$AC$30*AA82)</f>
        <v>1.0824348548731658E-2</v>
      </c>
      <c r="M46" s="113">
        <f t="shared" ref="M46" si="139">$Z$31*(1+$AC$31*$AA$43)*EXP(-$AA$31*G46)+$AB$31-$AD$31*G46</f>
        <v>292539.5238249356</v>
      </c>
      <c r="N46" s="113">
        <f t="shared" ref="N46" si="140">$Z$32*EXP(-$AA$32*G46)+$AB$32-$AC$32*G46+$AD$32*$AA$43</f>
        <v>0.61723644633310337</v>
      </c>
      <c r="O46" s="113">
        <f t="shared" ref="O46" si="141">($Z$33-$AA$33/($AB$33*F46+$AA$43-0.13))*($AC$33-F46)*EXP(-$AD$33*F46)-$AE$33*$AA$43*F46+$AF$33</f>
        <v>1427.3698231008466</v>
      </c>
      <c r="P46" s="113">
        <f t="shared" ref="P46" si="142">$Z$34*(AA82+$AA$34)+$AB$34*F46</f>
        <v>6.3027904307563542E-3</v>
      </c>
      <c r="Q46" s="113">
        <f t="shared" ref="Q46" si="143">($Z$35*(1-$AF$35*$AA$43)*EXP(-$AA$35*F46*(1-$AD$35*$AA$43))+$AB$35-$AE$35*F46)*(2+$AC$35*AA82)</f>
        <v>6411.7976426390833</v>
      </c>
      <c r="R46" s="113">
        <f t="shared" ref="R46" si="144">(($AD$36*$AA$43-$Z$36)*EXP((-$AA$36*F46)/(1+$AE$36*$AA$43+$AF$36*F46))+$AB$36)*(2+$AC$36*$AA$43)</f>
        <v>1.7396678903664899E-2</v>
      </c>
      <c r="S46" s="42">
        <f>O46*EXP(-P46*J46)+Q46*EXP(-R46*J46)</f>
        <v>3363.8165391674693</v>
      </c>
      <c r="T46" s="42">
        <f t="shared" si="1"/>
        <v>0.56417135347679259</v>
      </c>
      <c r="U46" s="42">
        <f t="shared" ref="U46" si="145">G46*S46</f>
        <v>1070.3262502274038</v>
      </c>
    </row>
    <row r="47" spans="1:32" ht="14.95" thickBot="1" x14ac:dyDescent="0.3">
      <c r="A47" s="17" t="s">
        <v>43</v>
      </c>
      <c r="B47" s="17">
        <v>15</v>
      </c>
      <c r="C47" s="120"/>
      <c r="D47" s="123"/>
      <c r="E47" s="3">
        <v>15</v>
      </c>
      <c r="F47" s="41">
        <v>0.30648480759908664</v>
      </c>
      <c r="G47" s="114"/>
      <c r="H47" s="50">
        <v>1.0135545069638157</v>
      </c>
      <c r="I47" s="50">
        <v>0.8930468354162634</v>
      </c>
      <c r="J47" s="50">
        <f t="shared" si="123"/>
        <v>57.44893719102447</v>
      </c>
      <c r="K47" s="114"/>
      <c r="L47" s="114"/>
      <c r="M47" s="114"/>
      <c r="N47" s="114"/>
      <c r="O47" s="114"/>
      <c r="P47" s="114"/>
      <c r="Q47" s="114"/>
      <c r="R47" s="114"/>
      <c r="S47" s="50">
        <f>O46*EXP(-P46*J47)+Q46*EXP(-R46*J47)</f>
        <v>3353.8997091699821</v>
      </c>
      <c r="T47" s="50">
        <f t="shared" si="1"/>
        <v>0.56299227509183447</v>
      </c>
      <c r="U47" s="50">
        <f t="shared" ref="U47" si="146">G46*S47</f>
        <v>1067.1708333544073</v>
      </c>
    </row>
    <row r="48" spans="1:32" ht="14.95" thickBot="1" x14ac:dyDescent="0.3">
      <c r="A48" s="18" t="s">
        <v>43</v>
      </c>
      <c r="B48" s="18">
        <v>16</v>
      </c>
      <c r="C48" s="121"/>
      <c r="D48" s="124"/>
      <c r="E48" s="4">
        <v>30</v>
      </c>
      <c r="F48" s="54">
        <v>0.3063094766269896</v>
      </c>
      <c r="G48" s="115"/>
      <c r="H48" s="51">
        <v>1.0135545069638157</v>
      </c>
      <c r="I48" s="51">
        <v>0.89303720716902479</v>
      </c>
      <c r="J48" s="51">
        <f t="shared" si="123"/>
        <v>57.449556574591504</v>
      </c>
      <c r="K48" s="115"/>
      <c r="L48" s="115"/>
      <c r="M48" s="115"/>
      <c r="N48" s="115"/>
      <c r="O48" s="115"/>
      <c r="P48" s="115"/>
      <c r="Q48" s="115"/>
      <c r="R48" s="115"/>
      <c r="S48" s="51">
        <f>O46*EXP(-P46*J48)+Q46*EXP(-R46*J48)</f>
        <v>3353.8703988422194</v>
      </c>
      <c r="T48" s="51">
        <f t="shared" si="1"/>
        <v>0.56298878802099805</v>
      </c>
      <c r="U48" s="51">
        <f t="shared" ref="U48" si="147">G46*S48</f>
        <v>1067.1615071581532</v>
      </c>
    </row>
  </sheetData>
  <mergeCells count="139">
    <mergeCell ref="C7:C24"/>
    <mergeCell ref="D7:D9"/>
    <mergeCell ref="G7:G9"/>
    <mergeCell ref="G10:G12"/>
    <mergeCell ref="G13:G15"/>
    <mergeCell ref="G16:G18"/>
    <mergeCell ref="G19:G21"/>
    <mergeCell ref="G22:G24"/>
    <mergeCell ref="G40:G42"/>
    <mergeCell ref="C40:C48"/>
    <mergeCell ref="D40:D42"/>
    <mergeCell ref="D43:D45"/>
    <mergeCell ref="D46:D48"/>
    <mergeCell ref="C25:C39"/>
    <mergeCell ref="D25:D27"/>
    <mergeCell ref="D28:D30"/>
    <mergeCell ref="D31:D33"/>
    <mergeCell ref="D34:D36"/>
    <mergeCell ref="D37:D39"/>
    <mergeCell ref="G43:G45"/>
    <mergeCell ref="G46:G48"/>
    <mergeCell ref="G25:G27"/>
    <mergeCell ref="G28:G30"/>
    <mergeCell ref="G31:G33"/>
    <mergeCell ref="G34:G36"/>
    <mergeCell ref="G37:G39"/>
    <mergeCell ref="K5:S5"/>
    <mergeCell ref="R10:R12"/>
    <mergeCell ref="K13:K15"/>
    <mergeCell ref="K7:K9"/>
    <mergeCell ref="L7:L9"/>
    <mergeCell ref="M7:M9"/>
    <mergeCell ref="N7:N9"/>
    <mergeCell ref="O7:O9"/>
    <mergeCell ref="P7:P9"/>
    <mergeCell ref="Q7:Q9"/>
    <mergeCell ref="R7:R9"/>
    <mergeCell ref="K10:K12"/>
    <mergeCell ref="L10:L12"/>
    <mergeCell ref="M10:M12"/>
    <mergeCell ref="N10:N12"/>
    <mergeCell ref="O10:O12"/>
    <mergeCell ref="P10:P12"/>
    <mergeCell ref="Q10:Q12"/>
    <mergeCell ref="Q13:Q15"/>
    <mergeCell ref="R13:R15"/>
    <mergeCell ref="K16:K18"/>
    <mergeCell ref="L16:L18"/>
    <mergeCell ref="M16:M18"/>
    <mergeCell ref="N16:N18"/>
    <mergeCell ref="O16:O18"/>
    <mergeCell ref="P16:P18"/>
    <mergeCell ref="Q16:Q18"/>
    <mergeCell ref="R16:R18"/>
    <mergeCell ref="L13:L15"/>
    <mergeCell ref="M13:M15"/>
    <mergeCell ref="N13:N15"/>
    <mergeCell ref="O13:O15"/>
    <mergeCell ref="P13:P15"/>
    <mergeCell ref="P19:P21"/>
    <mergeCell ref="Q19:Q21"/>
    <mergeCell ref="R19:R21"/>
    <mergeCell ref="K22:K24"/>
    <mergeCell ref="L22:L24"/>
    <mergeCell ref="M22:M24"/>
    <mergeCell ref="N22:N24"/>
    <mergeCell ref="O22:O24"/>
    <mergeCell ref="P22:P24"/>
    <mergeCell ref="Q22:Q24"/>
    <mergeCell ref="R22:R24"/>
    <mergeCell ref="K19:K21"/>
    <mergeCell ref="L19:L21"/>
    <mergeCell ref="M19:M21"/>
    <mergeCell ref="N19:N21"/>
    <mergeCell ref="O19:O21"/>
    <mergeCell ref="P25:P27"/>
    <mergeCell ref="Q25:Q27"/>
    <mergeCell ref="R25:R27"/>
    <mergeCell ref="K28:K30"/>
    <mergeCell ref="L28:L30"/>
    <mergeCell ref="M28:M30"/>
    <mergeCell ref="N28:N30"/>
    <mergeCell ref="O28:O30"/>
    <mergeCell ref="P28:P30"/>
    <mergeCell ref="Q28:Q30"/>
    <mergeCell ref="R28:R30"/>
    <mergeCell ref="K25:K27"/>
    <mergeCell ref="L25:L27"/>
    <mergeCell ref="M25:M27"/>
    <mergeCell ref="N25:N27"/>
    <mergeCell ref="O25:O27"/>
    <mergeCell ref="P31:P33"/>
    <mergeCell ref="Q31:Q33"/>
    <mergeCell ref="R31:R33"/>
    <mergeCell ref="K34:K36"/>
    <mergeCell ref="L34:L36"/>
    <mergeCell ref="M34:M36"/>
    <mergeCell ref="N34:N36"/>
    <mergeCell ref="O34:O36"/>
    <mergeCell ref="P34:P36"/>
    <mergeCell ref="Q34:Q36"/>
    <mergeCell ref="R34:R36"/>
    <mergeCell ref="K31:K33"/>
    <mergeCell ref="L31:L33"/>
    <mergeCell ref="M31:M33"/>
    <mergeCell ref="N31:N33"/>
    <mergeCell ref="O31:O33"/>
    <mergeCell ref="P37:P39"/>
    <mergeCell ref="Q37:Q39"/>
    <mergeCell ref="R37:R39"/>
    <mergeCell ref="K40:K42"/>
    <mergeCell ref="L40:L42"/>
    <mergeCell ref="M40:M42"/>
    <mergeCell ref="N40:N42"/>
    <mergeCell ref="O40:O42"/>
    <mergeCell ref="P40:P42"/>
    <mergeCell ref="Q40:Q42"/>
    <mergeCell ref="R40:R42"/>
    <mergeCell ref="K37:K39"/>
    <mergeCell ref="L37:L39"/>
    <mergeCell ref="M37:M39"/>
    <mergeCell ref="N37:N39"/>
    <mergeCell ref="O37:O39"/>
    <mergeCell ref="P43:P45"/>
    <mergeCell ref="Q43:Q45"/>
    <mergeCell ref="R43:R45"/>
    <mergeCell ref="K46:K48"/>
    <mergeCell ref="L46:L48"/>
    <mergeCell ref="M46:M48"/>
    <mergeCell ref="N46:N48"/>
    <mergeCell ref="O46:O48"/>
    <mergeCell ref="P46:P48"/>
    <mergeCell ref="Q46:Q48"/>
    <mergeCell ref="R46:R48"/>
    <mergeCell ref="K43:K45"/>
    <mergeCell ref="L43:L45"/>
    <mergeCell ref="M43:M45"/>
    <mergeCell ref="N43:N45"/>
    <mergeCell ref="O43:O4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0B89-E009-4856-96FA-A7F028998EC2}">
  <dimension ref="B1:AA28"/>
  <sheetViews>
    <sheetView topLeftCell="L1" zoomScaleNormal="100" workbookViewId="0">
      <selection activeCell="Z8" sqref="Z8:Z9"/>
    </sheetView>
  </sheetViews>
  <sheetFormatPr defaultRowHeight="14.3" x14ac:dyDescent="0.25"/>
  <cols>
    <col min="4" max="4" width="11" bestFit="1" customWidth="1"/>
    <col min="5" max="5" width="14.125" bestFit="1" customWidth="1"/>
    <col min="10" max="10" width="9" customWidth="1"/>
    <col min="13" max="13" width="10.625" bestFit="1" customWidth="1"/>
    <col min="15" max="15" width="11.25" bestFit="1" customWidth="1"/>
    <col min="20" max="21" width="10.25" bestFit="1" customWidth="1"/>
    <col min="24" max="24" width="11" bestFit="1" customWidth="1"/>
  </cols>
  <sheetData>
    <row r="1" spans="2:27" ht="15.8" thickBot="1" x14ac:dyDescent="0.3"/>
    <row r="2" spans="2:27" x14ac:dyDescent="0.25">
      <c r="B2" s="56" t="s">
        <v>131</v>
      </c>
      <c r="C2" s="57"/>
      <c r="D2" s="57"/>
      <c r="E2" s="57"/>
      <c r="F2" s="57" t="s">
        <v>177</v>
      </c>
      <c r="G2" s="57"/>
      <c r="H2" s="57"/>
      <c r="I2" s="57"/>
      <c r="J2" s="58"/>
      <c r="L2" s="56" t="s">
        <v>130</v>
      </c>
      <c r="M2" s="57"/>
      <c r="N2" s="57"/>
      <c r="O2" s="57"/>
      <c r="P2" s="58"/>
      <c r="R2" s="56" t="s">
        <v>132</v>
      </c>
      <c r="S2" s="57"/>
      <c r="T2" s="57"/>
      <c r="U2" s="58"/>
      <c r="W2" s="56" t="s">
        <v>133</v>
      </c>
      <c r="X2" s="57"/>
      <c r="Y2" s="57"/>
      <c r="Z2" s="57"/>
      <c r="AA2" s="58"/>
    </row>
    <row r="3" spans="2:27" x14ac:dyDescent="0.25">
      <c r="B3" s="59"/>
      <c r="F3" t="s">
        <v>145</v>
      </c>
      <c r="J3" s="60"/>
      <c r="L3" s="59"/>
      <c r="P3" s="60"/>
      <c r="R3" s="59"/>
      <c r="U3" s="60"/>
      <c r="W3" s="59"/>
      <c r="AA3" s="60"/>
    </row>
    <row r="4" spans="2:27" ht="14.95" x14ac:dyDescent="0.25">
      <c r="B4" s="59"/>
      <c r="J4" s="60"/>
      <c r="L4" s="59"/>
      <c r="P4" s="60"/>
      <c r="R4" s="59"/>
      <c r="U4" s="60"/>
      <c r="W4" s="59"/>
      <c r="AA4" s="60"/>
    </row>
    <row r="5" spans="2:27" ht="14.95" x14ac:dyDescent="0.25">
      <c r="B5" s="59"/>
      <c r="J5" s="60"/>
      <c r="L5" s="59"/>
      <c r="P5" s="60"/>
      <c r="R5" s="59"/>
      <c r="U5" s="60"/>
      <c r="W5" s="59"/>
      <c r="AA5" s="60"/>
    </row>
    <row r="6" spans="2:27" ht="14.95" thickBot="1" x14ac:dyDescent="0.3">
      <c r="B6" s="59"/>
      <c r="J6" s="60"/>
      <c r="L6" s="59"/>
      <c r="P6" s="60"/>
      <c r="R6" s="59"/>
      <c r="U6" s="60"/>
      <c r="W6" s="59"/>
      <c r="AA6" s="60"/>
    </row>
    <row r="7" spans="2:27" ht="18.350000000000001" thickBot="1" x14ac:dyDescent="0.4">
      <c r="B7" s="59"/>
      <c r="J7" s="60"/>
      <c r="L7" s="59"/>
      <c r="M7" s="74" t="s">
        <v>150</v>
      </c>
      <c r="N7" s="65" t="s">
        <v>154</v>
      </c>
      <c r="O7" s="66" t="s">
        <v>155</v>
      </c>
      <c r="P7" s="60"/>
      <c r="R7" s="59"/>
      <c r="S7" s="70" t="s">
        <v>151</v>
      </c>
      <c r="T7" s="66" t="s">
        <v>152</v>
      </c>
      <c r="U7" s="60"/>
      <c r="W7" s="59"/>
      <c r="AA7" s="60"/>
    </row>
    <row r="8" spans="2:27" ht="18.350000000000001" thickBot="1" x14ac:dyDescent="0.4">
      <c r="B8" s="59"/>
      <c r="J8" s="60"/>
      <c r="L8" s="59"/>
      <c r="M8" s="67">
        <v>5.4000000000000003E-3</v>
      </c>
      <c r="N8" s="62">
        <v>9.2850000000000001</v>
      </c>
      <c r="O8" s="69">
        <v>12</v>
      </c>
      <c r="P8" s="60"/>
      <c r="R8" s="59"/>
      <c r="S8" s="67">
        <v>132</v>
      </c>
      <c r="T8" s="69">
        <v>1000</v>
      </c>
      <c r="U8" s="60"/>
      <c r="W8" s="59"/>
      <c r="X8" s="72" t="s">
        <v>157</v>
      </c>
      <c r="Z8" s="72" t="s">
        <v>158</v>
      </c>
      <c r="AA8" s="60"/>
    </row>
    <row r="9" spans="2:27" ht="14.95" thickBot="1" x14ac:dyDescent="0.3">
      <c r="B9" s="59"/>
      <c r="C9" s="64" t="s">
        <v>108</v>
      </c>
      <c r="D9" s="65" t="s">
        <v>137</v>
      </c>
      <c r="E9" s="65" t="s">
        <v>138</v>
      </c>
      <c r="F9" s="65" t="s">
        <v>139</v>
      </c>
      <c r="G9" s="65" t="s">
        <v>140</v>
      </c>
      <c r="H9" s="65" t="s">
        <v>141</v>
      </c>
      <c r="I9" s="66" t="s">
        <v>142</v>
      </c>
      <c r="J9" s="60"/>
      <c r="L9" s="59"/>
      <c r="P9" s="60"/>
      <c r="R9" s="59"/>
      <c r="U9" s="60"/>
      <c r="W9" s="59"/>
      <c r="X9" s="73">
        <v>2.2000000000000002</v>
      </c>
      <c r="Z9" s="73">
        <f>1/(1-0.009*X9)</f>
        <v>1.0201999591920017</v>
      </c>
      <c r="AA9" s="60"/>
    </row>
    <row r="10" spans="2:27" ht="17.7" thickBot="1" x14ac:dyDescent="0.4">
      <c r="B10" s="59"/>
      <c r="C10" s="67">
        <v>1001.4250000000001</v>
      </c>
      <c r="D10" s="68">
        <v>8.9999999999999998E-4</v>
      </c>
      <c r="E10" s="68">
        <v>1.7699</v>
      </c>
      <c r="F10" s="68">
        <v>6.4000000000000003E-3</v>
      </c>
      <c r="G10" s="68">
        <v>1.8855</v>
      </c>
      <c r="H10" s="68">
        <v>1.2999999999999999E-5</v>
      </c>
      <c r="I10" s="69">
        <v>1.2237</v>
      </c>
      <c r="J10" s="60"/>
      <c r="L10" s="59"/>
      <c r="M10" s="72" t="s">
        <v>156</v>
      </c>
      <c r="P10" s="60"/>
      <c r="R10" s="59"/>
      <c r="S10" s="72" t="s">
        <v>153</v>
      </c>
      <c r="U10" s="60"/>
      <c r="W10" s="59"/>
      <c r="AA10" s="60"/>
    </row>
    <row r="11" spans="2:27" ht="14.95" thickBot="1" x14ac:dyDescent="0.3">
      <c r="B11" s="59"/>
      <c r="J11" s="60"/>
      <c r="L11" s="59"/>
      <c r="M11" s="73">
        <f>1+M8*(N8-O8)</f>
        <v>0.98533899999999996</v>
      </c>
      <c r="P11" s="60"/>
      <c r="R11" s="59"/>
      <c r="S11" s="73">
        <f>EXP((C16-T8)/S8)</f>
        <v>1.1708520735801879</v>
      </c>
      <c r="U11" s="60"/>
      <c r="W11" s="59"/>
      <c r="AA11" s="60"/>
    </row>
    <row r="12" spans="2:27" x14ac:dyDescent="0.25">
      <c r="B12" s="59"/>
      <c r="J12" s="60"/>
      <c r="L12" s="59"/>
      <c r="P12" s="60"/>
      <c r="R12" s="59"/>
      <c r="U12" s="60"/>
      <c r="W12" s="59"/>
      <c r="AA12" s="60"/>
    </row>
    <row r="13" spans="2:27" ht="14.95" x14ac:dyDescent="0.25">
      <c r="B13" s="59"/>
      <c r="J13" s="60"/>
      <c r="L13" s="59"/>
      <c r="P13" s="60"/>
      <c r="R13" s="59"/>
      <c r="U13" s="60"/>
      <c r="W13" s="59"/>
      <c r="AA13" s="60"/>
    </row>
    <row r="14" spans="2:27" ht="15.8" thickBot="1" x14ac:dyDescent="0.3">
      <c r="B14" s="59"/>
      <c r="J14" s="60"/>
      <c r="L14" s="59"/>
      <c r="P14" s="60"/>
      <c r="R14" s="59"/>
      <c r="U14" s="60"/>
      <c r="W14" s="59"/>
      <c r="AA14" s="60"/>
    </row>
    <row r="15" spans="2:27" ht="16.3" x14ac:dyDescent="0.25">
      <c r="B15" s="59"/>
      <c r="C15" s="64" t="s">
        <v>135</v>
      </c>
      <c r="D15" s="65" t="s">
        <v>134</v>
      </c>
      <c r="E15" s="65" t="s">
        <v>136</v>
      </c>
      <c r="F15" s="65" t="s">
        <v>143</v>
      </c>
      <c r="G15" s="66" t="s">
        <v>144</v>
      </c>
      <c r="J15" s="60"/>
      <c r="L15" s="59"/>
      <c r="P15" s="60"/>
      <c r="R15" s="59"/>
      <c r="U15" s="60"/>
      <c r="W15" s="59"/>
      <c r="AA15" s="60"/>
    </row>
    <row r="16" spans="2:27" ht="15.8" thickBot="1" x14ac:dyDescent="0.3">
      <c r="B16" s="59"/>
      <c r="C16" s="67">
        <f>(C10*100/9.81)/10</f>
        <v>1020.8205912334352</v>
      </c>
      <c r="D16" s="68">
        <v>6.9</v>
      </c>
      <c r="E16" s="68">
        <v>1.36</v>
      </c>
      <c r="F16" s="68">
        <v>1</v>
      </c>
      <c r="G16" s="69">
        <f>F16*E16*(-D10*C16+E10)*(1-EXP(-(F10*C16+G10)*D16^(H10*C16-I10)))</f>
        <v>0.64396134100120705</v>
      </c>
      <c r="J16" s="60"/>
      <c r="L16" s="59"/>
      <c r="P16" s="60"/>
      <c r="R16" s="59"/>
      <c r="U16" s="60"/>
      <c r="W16" s="59"/>
      <c r="AA16" s="60"/>
    </row>
    <row r="17" spans="2:27" ht="14.95" x14ac:dyDescent="0.25">
      <c r="B17" s="59"/>
      <c r="J17" s="60"/>
      <c r="L17" s="59"/>
      <c r="P17" s="60"/>
      <c r="R17" s="59"/>
      <c r="U17" s="60"/>
      <c r="W17" s="59"/>
      <c r="AA17" s="60"/>
    </row>
    <row r="18" spans="2:27" ht="15.8" thickBot="1" x14ac:dyDescent="0.3">
      <c r="B18" s="59"/>
      <c r="J18" s="60"/>
      <c r="L18" s="59"/>
      <c r="P18" s="60"/>
      <c r="R18" s="59"/>
      <c r="U18" s="60"/>
      <c r="W18" s="59"/>
      <c r="AA18" s="60"/>
    </row>
    <row r="19" spans="2:27" ht="18" x14ac:dyDescent="0.35">
      <c r="B19" s="59"/>
      <c r="C19" s="64" t="s">
        <v>146</v>
      </c>
      <c r="D19" s="65" t="s">
        <v>149</v>
      </c>
      <c r="E19" s="66" t="s">
        <v>148</v>
      </c>
      <c r="J19" s="60"/>
      <c r="L19" s="59"/>
      <c r="P19" s="60"/>
      <c r="R19" s="59"/>
      <c r="U19" s="60"/>
      <c r="W19" s="59"/>
      <c r="AA19" s="60"/>
    </row>
    <row r="20" spans="2:27" ht="15.8" thickBot="1" x14ac:dyDescent="0.3">
      <c r="B20" s="59"/>
      <c r="C20" s="67">
        <v>147.13</v>
      </c>
      <c r="D20" s="68">
        <v>156.16999999999999</v>
      </c>
      <c r="E20" s="69">
        <f>(C20*G16/D20+1-G16)^-1</f>
        <v>1.0387194222632061</v>
      </c>
      <c r="J20" s="60"/>
      <c r="L20" s="59"/>
      <c r="P20" s="60"/>
      <c r="R20" s="59"/>
      <c r="U20" s="60"/>
      <c r="W20" s="59"/>
      <c r="AA20" s="60"/>
    </row>
    <row r="21" spans="2:27" ht="14.95" x14ac:dyDescent="0.25">
      <c r="B21" s="59"/>
      <c r="J21" s="60"/>
      <c r="L21" s="59"/>
      <c r="P21" s="60"/>
      <c r="R21" s="59"/>
      <c r="U21" s="60"/>
      <c r="W21" s="59"/>
      <c r="AA21" s="60"/>
    </row>
    <row r="22" spans="2:27" ht="14.95" x14ac:dyDescent="0.25">
      <c r="B22" s="59"/>
      <c r="J22" s="60"/>
      <c r="L22" s="59"/>
      <c r="P22" s="60"/>
      <c r="R22" s="59"/>
      <c r="U22" s="60"/>
      <c r="W22" s="59"/>
      <c r="AA22" s="60"/>
    </row>
    <row r="23" spans="2:27" ht="14.95" x14ac:dyDescent="0.25">
      <c r="B23" s="59"/>
      <c r="J23" s="60"/>
      <c r="L23" s="59"/>
      <c r="P23" s="60"/>
      <c r="R23" s="59"/>
      <c r="U23" s="60"/>
      <c r="W23" s="59"/>
      <c r="AA23" s="60"/>
    </row>
    <row r="24" spans="2:27" ht="14.95" x14ac:dyDescent="0.25">
      <c r="B24" s="59"/>
      <c r="J24" s="60"/>
      <c r="L24" s="59"/>
      <c r="P24" s="60"/>
      <c r="R24" s="59"/>
      <c r="U24" s="60"/>
      <c r="W24" s="59"/>
      <c r="AA24" s="60"/>
    </row>
    <row r="25" spans="2:27" ht="14.95" x14ac:dyDescent="0.25">
      <c r="B25" s="59"/>
      <c r="J25" s="60"/>
      <c r="L25" s="59"/>
      <c r="P25" s="60"/>
      <c r="R25" s="59"/>
      <c r="U25" s="60"/>
      <c r="W25" s="59"/>
      <c r="AA25" s="60"/>
    </row>
    <row r="26" spans="2:27" ht="14.95" x14ac:dyDescent="0.25">
      <c r="B26" s="59"/>
      <c r="J26" s="60"/>
      <c r="L26" s="59"/>
      <c r="P26" s="60"/>
      <c r="R26" s="59"/>
      <c r="U26" s="60"/>
      <c r="W26" s="59"/>
      <c r="AA26" s="60"/>
    </row>
    <row r="27" spans="2:27" ht="15.8" thickBot="1" x14ac:dyDescent="0.3">
      <c r="B27" s="61"/>
      <c r="C27" s="62"/>
      <c r="D27" s="62"/>
      <c r="E27" s="62"/>
      <c r="F27" s="62"/>
      <c r="G27" s="62"/>
      <c r="H27" s="62"/>
      <c r="I27" s="62"/>
      <c r="J27" s="63"/>
      <c r="L27" s="61"/>
      <c r="M27" s="62"/>
      <c r="N27" s="62"/>
      <c r="O27" s="62"/>
      <c r="P27" s="63"/>
      <c r="R27" s="61"/>
      <c r="S27" s="62"/>
      <c r="T27" s="62"/>
      <c r="U27" s="63"/>
      <c r="W27" s="61"/>
      <c r="X27" s="62"/>
      <c r="Y27" s="62"/>
      <c r="Z27" s="62"/>
      <c r="AA27" s="63"/>
    </row>
    <row r="28" spans="2:27" ht="14.95" x14ac:dyDescent="0.25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0613-3AEC-4E07-BD18-C4EDDD467058}">
  <dimension ref="A3:N31"/>
  <sheetViews>
    <sheetView tabSelected="1" workbookViewId="0">
      <selection activeCell="M17" sqref="M17"/>
    </sheetView>
  </sheetViews>
  <sheetFormatPr defaultRowHeight="14.3" x14ac:dyDescent="0.25"/>
  <cols>
    <col min="1" max="1" width="12.5" bestFit="1" customWidth="1"/>
  </cols>
  <sheetData>
    <row r="3" spans="2:13" ht="14.95" thickBot="1" x14ac:dyDescent="0.3"/>
    <row r="4" spans="2:13" ht="17" x14ac:dyDescent="0.25">
      <c r="B4" s="77"/>
      <c r="C4" s="79" t="s">
        <v>68</v>
      </c>
      <c r="D4" s="77" t="s">
        <v>147</v>
      </c>
      <c r="E4" s="78" t="s">
        <v>159</v>
      </c>
      <c r="F4" s="78" t="s">
        <v>160</v>
      </c>
      <c r="G4" s="78" t="s">
        <v>161</v>
      </c>
      <c r="H4" s="79" t="s">
        <v>189</v>
      </c>
      <c r="I4" s="80" t="s">
        <v>165</v>
      </c>
      <c r="J4" s="77" t="s">
        <v>162</v>
      </c>
      <c r="K4" s="78" t="s">
        <v>163</v>
      </c>
      <c r="L4" s="80" t="s">
        <v>164</v>
      </c>
      <c r="M4" s="81" t="s">
        <v>166</v>
      </c>
    </row>
    <row r="5" spans="2:13" ht="14.95" thickBot="1" x14ac:dyDescent="0.3">
      <c r="B5" s="53">
        <v>0.21990890344044203</v>
      </c>
      <c r="C5" s="4">
        <f>1095/(25/6)/2</f>
        <v>131.39999999999998</v>
      </c>
      <c r="D5" s="53">
        <v>1.0387194222632061</v>
      </c>
      <c r="E5" s="75">
        <v>0.98533899999999996</v>
      </c>
      <c r="F5" s="75">
        <v>1.1708520735801879</v>
      </c>
      <c r="G5" s="75">
        <v>1.0201999591920017</v>
      </c>
      <c r="H5" s="4">
        <f>D5*E5*F5*G5</f>
        <v>1.2225630227556943</v>
      </c>
      <c r="I5" s="76">
        <f>C5*H5</f>
        <v>160.6447811900982</v>
      </c>
      <c r="J5" s="53">
        <v>8.0799999999999997E-2</v>
      </c>
      <c r="K5" s="75">
        <v>0.372</v>
      </c>
      <c r="L5" s="76">
        <v>0.115</v>
      </c>
      <c r="M5" s="71">
        <f>I5/((J5/(B5+L5))+K5)</f>
        <v>261.95231492034918</v>
      </c>
    </row>
    <row r="17" spans="1:14" x14ac:dyDescent="0.25">
      <c r="A17" t="s">
        <v>183</v>
      </c>
      <c r="B17" s="88">
        <v>0.51944444444444449</v>
      </c>
      <c r="C17" s="88">
        <v>0.56111111111111112</v>
      </c>
      <c r="D17" s="88">
        <v>0.60277777777777775</v>
      </c>
      <c r="E17" s="88">
        <v>0.64444444444444449</v>
      </c>
      <c r="F17" s="88">
        <v>0.69305555555555554</v>
      </c>
      <c r="I17" t="s">
        <v>187</v>
      </c>
      <c r="J17" s="88">
        <v>0.1736111111111111</v>
      </c>
      <c r="L17" s="89">
        <v>46198</v>
      </c>
      <c r="N17">
        <v>1095</v>
      </c>
    </row>
    <row r="18" spans="1:14" x14ac:dyDescent="0.25">
      <c r="A18" t="s">
        <v>182</v>
      </c>
      <c r="B18">
        <f>(13+112)/2</f>
        <v>62.5</v>
      </c>
      <c r="C18">
        <f>249/2</f>
        <v>124.5</v>
      </c>
      <c r="D18">
        <f>529/2</f>
        <v>264.5</v>
      </c>
      <c r="E18">
        <f>884/2</f>
        <v>442</v>
      </c>
      <c r="F18">
        <f>(721+499)/2</f>
        <v>610</v>
      </c>
    </row>
    <row r="19" spans="1:14" x14ac:dyDescent="0.25">
      <c r="A19" t="s">
        <v>188</v>
      </c>
      <c r="B19">
        <v>0</v>
      </c>
      <c r="C19">
        <f>C18-B18</f>
        <v>62</v>
      </c>
      <c r="D19">
        <f t="shared" ref="D19:F19" si="0">D18-C18</f>
        <v>140</v>
      </c>
      <c r="E19">
        <f t="shared" si="0"/>
        <v>177.5</v>
      </c>
      <c r="F19">
        <f>(F18-E18)*(6/7)</f>
        <v>144</v>
      </c>
      <c r="J19">
        <f>F18-B18</f>
        <v>547.5</v>
      </c>
      <c r="K19">
        <f>J19/(25/6)</f>
        <v>131.39999999999998</v>
      </c>
    </row>
    <row r="20" spans="1:14" x14ac:dyDescent="0.25">
      <c r="A20" t="s">
        <v>181</v>
      </c>
      <c r="B20" t="s">
        <v>179</v>
      </c>
      <c r="C20" t="s">
        <v>180</v>
      </c>
      <c r="D20" t="s">
        <v>185</v>
      </c>
      <c r="E20" t="s">
        <v>184</v>
      </c>
      <c r="F20" t="s">
        <v>186</v>
      </c>
      <c r="J20">
        <f>J19*2</f>
        <v>1095</v>
      </c>
      <c r="L20">
        <v>1</v>
      </c>
    </row>
    <row r="30" spans="1:14" x14ac:dyDescent="0.25">
      <c r="D30" t="s">
        <v>162</v>
      </c>
      <c r="E30" t="s">
        <v>163</v>
      </c>
      <c r="F30" t="s">
        <v>178</v>
      </c>
    </row>
    <row r="31" spans="1:14" x14ac:dyDescent="0.25">
      <c r="D31">
        <f>-L5</f>
        <v>-0.115</v>
      </c>
      <c r="E31">
        <f>K5*L5/(J5+K5*L5)</f>
        <v>0.34617251982521446</v>
      </c>
      <c r="F31">
        <f>M5*((J5+K5*L5)/L5)</f>
        <v>281.4962354596239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9A55-0469-4C3F-A288-7F17CAD62CEE}">
  <dimension ref="B6:P8"/>
  <sheetViews>
    <sheetView workbookViewId="0">
      <selection activeCell="B7" sqref="B7:P8"/>
    </sheetView>
  </sheetViews>
  <sheetFormatPr defaultRowHeight="14.3" x14ac:dyDescent="0.25"/>
  <cols>
    <col min="4" max="4" width="11.875" bestFit="1" customWidth="1"/>
    <col min="5" max="5" width="11.375" bestFit="1" customWidth="1"/>
    <col min="6" max="7" width="11.375" customWidth="1"/>
    <col min="8" max="12" width="9.375" bestFit="1" customWidth="1"/>
    <col min="13" max="14" width="10" bestFit="1" customWidth="1"/>
    <col min="15" max="15" width="9.375" bestFit="1" customWidth="1"/>
    <col min="16" max="16" width="8.125" bestFit="1" customWidth="1"/>
  </cols>
  <sheetData>
    <row r="6" spans="2:16" ht="14.95" thickBot="1" x14ac:dyDescent="0.3"/>
    <row r="7" spans="2:16" ht="17" x14ac:dyDescent="0.25">
      <c r="B7" s="82" t="s">
        <v>154</v>
      </c>
      <c r="C7" s="83" t="s">
        <v>167</v>
      </c>
      <c r="D7" s="84" t="s">
        <v>112</v>
      </c>
      <c r="E7" s="85" t="s">
        <v>169</v>
      </c>
      <c r="F7" s="77"/>
      <c r="G7" s="85" t="s">
        <v>170</v>
      </c>
      <c r="H7" s="83" t="s">
        <v>94</v>
      </c>
      <c r="I7" s="83" t="s">
        <v>95</v>
      </c>
      <c r="J7" s="83" t="s">
        <v>96</v>
      </c>
      <c r="K7" s="83" t="s">
        <v>97</v>
      </c>
      <c r="L7" s="83" t="s">
        <v>98</v>
      </c>
      <c r="M7" s="83" t="s">
        <v>99</v>
      </c>
      <c r="N7" s="83" t="s">
        <v>100</v>
      </c>
      <c r="O7" s="83" t="s">
        <v>168</v>
      </c>
      <c r="P7" s="86" t="s">
        <v>171</v>
      </c>
    </row>
    <row r="8" spans="2:16" ht="14.95" thickBot="1" x14ac:dyDescent="0.3">
      <c r="B8" s="11">
        <v>10.210000000000001</v>
      </c>
      <c r="C8" s="32">
        <v>160.64478119009817</v>
      </c>
      <c r="D8" s="32">
        <f>18/9.81</f>
        <v>1.8348623853211008</v>
      </c>
      <c r="E8" s="32">
        <v>1.43</v>
      </c>
      <c r="F8" s="91">
        <v>0.21990890344044203</v>
      </c>
      <c r="G8" s="92">
        <f>F8*E8/D8</f>
        <v>0.17138600389630848</v>
      </c>
      <c r="H8" s="92">
        <v>1.0940000000000001</v>
      </c>
      <c r="I8" s="92">
        <v>2.8000000000000001E-2</v>
      </c>
      <c r="J8" s="92">
        <v>0.254</v>
      </c>
      <c r="K8" s="92">
        <v>3.5369999999999999</v>
      </c>
      <c r="L8" s="92">
        <v>0.13900000000000001</v>
      </c>
      <c r="M8" s="93">
        <v>-1.4E-3</v>
      </c>
      <c r="N8" s="93">
        <v>-8.8000000000000005E-3</v>
      </c>
      <c r="O8" s="92">
        <v>1.15E-4</v>
      </c>
      <c r="P8" s="90">
        <f>C8/((I8+J8*G8)/(I8+G8)*(H8+N8*B8+O8*B8^2)+EXP(-K8*G8)*(L8+M8*B8))</f>
        <v>371.37320004653537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Constantes e Funções Auxiliares</vt:lpstr>
      <vt:lpstr>Medições Diretas</vt:lpstr>
      <vt:lpstr>Ponderação Vertical</vt:lpstr>
      <vt:lpstr>Ponderação Horizontal </vt:lpstr>
      <vt:lpstr>Fatores de Correção</vt:lpstr>
      <vt:lpstr>Método N0</vt:lpstr>
      <vt:lpstr>Método 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Riscado</dc:creator>
  <cp:lastModifiedBy>Duarte Riscado</cp:lastModifiedBy>
  <dcterms:created xsi:type="dcterms:W3CDTF">2026-02-02T21:40:11Z</dcterms:created>
  <dcterms:modified xsi:type="dcterms:W3CDTF">2026-03-29T01:46:29Z</dcterms:modified>
</cp:coreProperties>
</file>